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https://livecoventryac-my.sharepoint.com/personal/sriranjank_uni_coventry_ac_uk/Documents/Dissertation Files/"/>
    </mc:Choice>
  </mc:AlternateContent>
  <xr:revisionPtr revIDLastSave="0" documentId="8_{C70822A9-1850-C84D-A1C8-21CA053E167D}" xr6:coauthVersionLast="47" xr6:coauthVersionMax="47" xr10:uidLastSave="{00000000-0000-0000-0000-000000000000}"/>
  <bookViews>
    <workbookView xWindow="20" yWindow="680" windowWidth="34200" windowHeight="20060" tabRatio="500" activeTab="2" xr2:uid="{00000000-000D-0000-FFFF-FFFF00000000}"/>
  </bookViews>
  <sheets>
    <sheet name="Instructions" sheetId="1" r:id="rId1"/>
    <sheet name="Scoring Rubric" sheetId="2" r:id="rId2"/>
    <sheet name="Self-Assessment" sheetId="3" r:id="rId3"/>
    <sheet name="Results 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4" l="1"/>
  <c r="C17" i="4"/>
  <c r="C16" i="4"/>
  <c r="C15" i="4"/>
  <c r="C14" i="4"/>
  <c r="D9" i="4"/>
  <c r="C9" i="4"/>
  <c r="D8" i="4"/>
  <c r="C8" i="4"/>
  <c r="D7" i="4"/>
  <c r="C7" i="4"/>
  <c r="B21" i="4" l="1"/>
  <c r="C10" i="4"/>
</calcChain>
</file>

<file path=xl/sharedStrings.xml><?xml version="1.0" encoding="utf-8"?>
<sst xmlns="http://schemas.openxmlformats.org/spreadsheetml/2006/main" count="206" uniqueCount="159">
  <si>
    <t>AI–Cybersecurity Governance Integration Maturity Model</t>
  </si>
  <si>
    <t>Self-Assessment Tool for Organisations</t>
  </si>
  <si>
    <t>What this tool does</t>
  </si>
  <si>
    <t>This tool helps your organisation assess how mature its AI governance and cyber security governance are, and how well the two are joined together (integration). It is based on a research model built from the NIST and ISO frameworks. You score your organisation against 45 indicators, and the tool calculates your results automatically.</t>
  </si>
  <si>
    <t>How to use it — four steps</t>
  </si>
  <si>
    <t>1. Go to the 'Self-Assessment' sheet. It has 45 indicators in three sections: AI governance (15), Cyber governance (15), and Integration (15).</t>
  </si>
  <si>
    <t>2. For each indicator, read the description and the '1' and '5' anchors, then choose a score from 1 to 5 in the yellow 'Your score' column using the dropdown.</t>
  </si>
  <si>
    <t>3. Use the 'Scoring Rubric' sheet at any time to see what each level (1 to 5) means. AI and cyber use a maturity scale (Initial to Optimising). Integration uses a linkage scale (Siloed to Unified).</t>
  </si>
  <si>
    <t>4. Go to the 'Results Dashboard' sheet. It updates automatically and shows your scores, charts, and a written diagnosis.</t>
  </si>
  <si>
    <t>Important notes</t>
  </si>
  <si>
    <t>• Only the yellow cells need your input. Everything else calculates on its own.</t>
  </si>
  <si>
    <t>• Score honestly based on what your organisation actually does, not what it plans to do.</t>
  </si>
  <si>
    <t>• The maturity scale (AI and cyber) measures how developed a practice is. The integration scale measures how connected AI and cyber governance are — these are different things.</t>
  </si>
  <si>
    <t>• A low integration score with higher AI and cyber scores means your organisation governs both areas but has not joined them up.</t>
  </si>
  <si>
    <t>Scoring Rubrics</t>
  </si>
  <si>
    <t>Maturity scale — AI Governance (AIG) &amp; Cyber Governance (CYG)</t>
  </si>
  <si>
    <t>Level</t>
  </si>
  <si>
    <t>Label</t>
  </si>
  <si>
    <t>What a disclosure / practice shows</t>
  </si>
  <si>
    <t>Initial</t>
  </si>
  <si>
    <t>Absent or ad hoc — the governance activity is not present, or appears only in passing with no substance.</t>
  </si>
  <si>
    <t>Developing</t>
  </si>
  <si>
    <t>Acknowledged in generic terms; present but with no specifics, owners, or evidence it operates. Informal.</t>
  </si>
  <si>
    <t>Defined</t>
  </si>
  <si>
    <t>A specific policy, structure or process is described, documented and applied organisation-wide.</t>
  </si>
  <si>
    <t>Managed</t>
  </si>
  <si>
    <t>Owned and resourced; named accountability, cadence, metrics, or evidence the activity actually operates.</t>
  </si>
  <si>
    <t>Optimising</t>
  </si>
  <si>
    <t>Independently assured or benchmarked, reviewed, and continuously improved (e.g. external audit / certification).</t>
  </si>
  <si>
    <t>Linkage scale — Integration (INT)</t>
  </si>
  <si>
    <t>Linkage shown in the practice</t>
  </si>
  <si>
    <t>Siloed</t>
  </si>
  <si>
    <t>AI and cyber governance are handled separately, with no cross-reference between them.</t>
  </si>
  <si>
    <t>Aware</t>
  </si>
  <si>
    <t>Both are present and occasionally cross-referenced, but no shared mechanism exists.</t>
  </si>
  <si>
    <t>Coordinated</t>
  </si>
  <si>
    <t>An explicit linkage is described on this dimension (e.g. AI named within the cyber policy).</t>
  </si>
  <si>
    <t>Integrated</t>
  </si>
  <si>
    <t>A shared mechanism is operating (e.g. one committee, one risk register covering both).</t>
  </si>
  <si>
    <t>Unified</t>
  </si>
  <si>
    <t>The two domains are fully fused on this dimension — jointly governed, jointly assured, continuously improved.</t>
  </si>
  <si>
    <t>Self-Assessment — score your organisation (1 to 5)</t>
  </si>
  <si>
    <t>Only fill the yellow 'Your score' column. Use the dropdown. See the 'Scoring Rubric' sheet for what each level means.</t>
  </si>
  <si>
    <t>ID</t>
  </si>
  <si>
    <t>Dimension</t>
  </si>
  <si>
    <t>Indicator</t>
  </si>
  <si>
    <t>Your score</t>
  </si>
  <si>
    <t>Notes (optional)</t>
  </si>
  <si>
    <t>AI GOVERNANCE</t>
  </si>
  <si>
    <t>AIG-01</t>
  </si>
  <si>
    <t>Leadership &amp; Accountability</t>
  </si>
  <si>
    <t>Board / top-management-approved responsible-AI policy or principles.</t>
  </si>
  <si>
    <t>AIG-02</t>
  </si>
  <si>
    <t>Board / committee oversight of AI with a named senior owner (e.g. CAIO or accountable executive).</t>
  </si>
  <si>
    <t>AIG-03</t>
  </si>
  <si>
    <t>Defined AI roles, responsibilities and competence / resourcing.</t>
  </si>
  <si>
    <t>AIG-04</t>
  </si>
  <si>
    <t>Risk Management</t>
  </si>
  <si>
    <t>Documented AI risk assessment process and stated AI risk appetite / tolerance.</t>
  </si>
  <si>
    <t>AIG-05</t>
  </si>
  <si>
    <t>AI/ML brought within the firm's model risk management framework.</t>
  </si>
  <si>
    <t>AIG-06</t>
  </si>
  <si>
    <t>AI system / model inventory maintained.</t>
  </si>
  <si>
    <t>AIG-07</t>
  </si>
  <si>
    <t>Lifecycle &amp; Data</t>
  </si>
  <si>
    <t>Responsible-AI lifecycle controls (development → validation/V&amp;V → operation).</t>
  </si>
  <si>
    <t>AIG-08</t>
  </si>
  <si>
    <t>Data governance for AI (data quality, provenance, lineage).</t>
  </si>
  <si>
    <t>AIG-09</t>
  </si>
  <si>
    <t>AI impact assessment on customers / individuals.</t>
  </si>
  <si>
    <t>AIG-10</t>
  </si>
  <si>
    <t>Transparency &amp; Trustworthiness</t>
  </si>
  <si>
    <t>Fairness and harmful-bias management.</t>
  </si>
  <si>
    <t>AIG-11</t>
  </si>
  <si>
    <t>Transparency and explainability to users / affected parties.</t>
  </si>
  <si>
    <t>AIG-12</t>
  </si>
  <si>
    <t>Third-party / vendor AI risk governance.</t>
  </si>
  <si>
    <t>AIG-13</t>
  </si>
  <si>
    <t>Assurance &amp; Improvement</t>
  </si>
  <si>
    <t>Monitoring and measurement of AI performance and controls.</t>
  </si>
  <si>
    <t>AIG-14</t>
  </si>
  <si>
    <t>AI testing, incident management and escalation.</t>
  </si>
  <si>
    <t>AIG-15</t>
  </si>
  <si>
    <t>Independent assurance / audit / management review of AI governance.</t>
  </si>
  <si>
    <t>CYBER SECURITY GOVERNANCE</t>
  </si>
  <si>
    <t>CYG-01</t>
  </si>
  <si>
    <t>Board-approved cybersecurity / information-security policy.</t>
  </si>
  <si>
    <t>CYG-02</t>
  </si>
  <si>
    <t>Board oversight of cyber risk with a named senior owner (CISO).</t>
  </si>
  <si>
    <t>CYG-03</t>
  </si>
  <si>
    <t>Cyber risk embedded in enterprise risk-management strategy.</t>
  </si>
  <si>
    <t>CYG-04</t>
  </si>
  <si>
    <t>Documented cyber risk assessment and stated risk appetite.</t>
  </si>
  <si>
    <t>CYG-05</t>
  </si>
  <si>
    <t>Asset inventory / asset management.</t>
  </si>
  <si>
    <t>CYG-06</t>
  </si>
  <si>
    <t>Supply-chain / third-party cyber risk governance.</t>
  </si>
  <si>
    <t>CYG-07</t>
  </si>
  <si>
    <t>Protection &amp; Resilience</t>
  </si>
  <si>
    <t>Access control and identity management.</t>
  </si>
  <si>
    <t>CYG-08</t>
  </si>
  <si>
    <t>Data security (confidentiality, integrity, availability).</t>
  </si>
  <si>
    <t>CYG-09</t>
  </si>
  <si>
    <t>Operational resilience / ICT continuity.</t>
  </si>
  <si>
    <t>CYG-10</t>
  </si>
  <si>
    <t>Detection &amp; Response</t>
  </si>
  <si>
    <t>Continuous monitoring / threat detection.</t>
  </si>
  <si>
    <t>CYG-11</t>
  </si>
  <si>
    <t>Incident response and management.</t>
  </si>
  <si>
    <t>CYG-12</t>
  </si>
  <si>
    <t>Threat-led penetration / resilience testing.</t>
  </si>
  <si>
    <t>CYG-13</t>
  </si>
  <si>
    <t>Security monitoring metrics and board reporting.</t>
  </si>
  <si>
    <t>CYG-14</t>
  </si>
  <si>
    <t>Security awareness and training.</t>
  </si>
  <si>
    <t>CYG-15</t>
  </si>
  <si>
    <t>Independent assurance / audit / management review.</t>
  </si>
  <si>
    <t>INT-01</t>
  </si>
  <si>
    <t>A single committee / board body owns BOTH AI and cyber.</t>
  </si>
  <si>
    <t>INT-02</t>
  </si>
  <si>
    <t>CISO remit explicitly includes AI / joint accountability.</t>
  </si>
  <si>
    <t>INT-03</t>
  </si>
  <si>
    <t>Board reporting presents AI and cyber risk together.</t>
  </si>
  <si>
    <t>INT-04</t>
  </si>
  <si>
    <t>AI risk recorded in the enterprise / cyber risk register.</t>
  </si>
  <si>
    <t>INT-05</t>
  </si>
  <si>
    <t>Shared risk taxonomy across AI and cyber.</t>
  </si>
  <si>
    <t>INT-06</t>
  </si>
  <si>
    <t>AI sits within BOTH the model-risk and cyber-risk frameworks.</t>
  </si>
  <si>
    <t>INT-07</t>
  </si>
  <si>
    <t>Cyber controls embedded in the AI lifecycle.</t>
  </si>
  <si>
    <t>INT-08</t>
  </si>
  <si>
    <t>AI-specific threats addressed (adversarial, poisoning, model exfiltration).</t>
  </si>
  <si>
    <t>INT-09</t>
  </si>
  <si>
    <t>Shared data governance across AI and security.</t>
  </si>
  <si>
    <t>INT-10</t>
  </si>
  <si>
    <t>AI incidents run through the cyber incident-response process.</t>
  </si>
  <si>
    <t>INT-11</t>
  </si>
  <si>
    <t>AI used within cyber operations (detection / SOC).</t>
  </si>
  <si>
    <t>INT-12</t>
  </si>
  <si>
    <t>Unified third-party assessment covering AI and ICT.</t>
  </si>
  <si>
    <t>INT-13</t>
  </si>
  <si>
    <t>Joint assurance / audit covering both domains.</t>
  </si>
  <si>
    <t>INT-14</t>
  </si>
  <si>
    <t>Joint regulatory preparedness (AI Act + DORA + operational resilience).</t>
  </si>
  <si>
    <t>INT-15</t>
  </si>
  <si>
    <t>Board links AI strategy to cyber resilience.</t>
  </si>
  <si>
    <t>Results Dashboard</t>
  </si>
  <si>
    <t>Overall maturity by pillar</t>
  </si>
  <si>
    <t>Pillar</t>
  </si>
  <si>
    <t>Mean score</t>
  </si>
  <si>
    <t>Completion</t>
  </si>
  <si>
    <t>AI Governance</t>
  </si>
  <si>
    <t>Cyber Governance</t>
  </si>
  <si>
    <t>Integration</t>
  </si>
  <si>
    <t>Gap (Cyber − AI)</t>
  </si>
  <si>
    <t>Integration by dimension</t>
  </si>
  <si>
    <t>Written diagnosis</t>
  </si>
  <si>
    <t>INTEGRATION (AI x CYBER)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</si>
</sst>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6"/>
      <color rgb="FF1F3864"/>
      <name val="Calibri"/>
      <family val="2"/>
    </font>
    <font>
      <b/>
      <sz val="12"/>
      <color rgb="FF2E5496"/>
      <name val="Calibri"/>
      <family val="2"/>
    </font>
    <font>
      <b/>
      <sz val="12"/>
      <color rgb="FF1F3864"/>
      <name val="Calibri"/>
      <family val="2"/>
    </font>
    <font>
      <sz val="11"/>
      <color rgb="FF000000"/>
      <name val="Calibri"/>
      <family val="2"/>
    </font>
    <font>
      <b/>
      <sz val="12"/>
      <color rgb="FF0F6E56"/>
      <name val="Cambria"/>
      <family val="1"/>
    </font>
    <font>
      <b/>
      <sz val="11"/>
      <color rgb="FFFFFFFF"/>
      <name val="Calibri"/>
      <family val="2"/>
    </font>
    <font>
      <b/>
      <sz val="11"/>
      <name val="Cambria"/>
      <family val="1"/>
    </font>
    <font>
      <b/>
      <sz val="12"/>
      <color rgb="FFBF8F00"/>
      <name val="Cambria"/>
      <family val="1"/>
    </font>
    <font>
      <i/>
      <sz val="10"/>
      <color rgb="FF595959"/>
      <name val="Cambria"/>
      <family val="1"/>
    </font>
    <font>
      <b/>
      <sz val="14"/>
      <color rgb="FF1F3864"/>
      <name val="Cambria"/>
      <family val="1"/>
    </font>
    <font>
      <b/>
      <sz val="12"/>
      <color rgb="FFFFFFFF"/>
      <name val="Cambria"/>
      <family val="1"/>
    </font>
    <font>
      <b/>
      <sz val="16"/>
      <color rgb="FF1F3864"/>
      <name val="Cambria"/>
      <family val="1"/>
    </font>
    <font>
      <b/>
      <sz val="12"/>
      <color rgb="FF1F3864"/>
      <name val="Cambria"/>
      <family val="1"/>
    </font>
    <font>
      <b/>
      <sz val="11"/>
      <color rgb="FF2E5496"/>
      <name val="Cambria"/>
      <family val="1"/>
    </font>
    <font>
      <b/>
      <sz val="11"/>
      <color rgb="FF0F6E56"/>
      <name val="Cambria"/>
      <family val="1"/>
    </font>
    <font>
      <b/>
      <sz val="11"/>
      <color rgb="FF534AB7"/>
      <name val="Cambria"/>
      <family val="1"/>
    </font>
    <font>
      <sz val="11"/>
      <name val="Cambria"/>
      <family val="1"/>
    </font>
    <font>
      <sz val="10"/>
      <color rgb="FF595959"/>
      <name val="Cambria"/>
      <family val="1"/>
    </font>
  </fonts>
  <fills count="9">
    <fill>
      <patternFill patternType="none"/>
    </fill>
    <fill>
      <patternFill patternType="gray125"/>
    </fill>
    <fill>
      <patternFill patternType="solid">
        <fgColor rgb="FF1F3864"/>
        <bgColor rgb="FF333333"/>
      </patternFill>
    </fill>
    <fill>
      <patternFill patternType="solid">
        <fgColor rgb="FFFFFFFF"/>
        <bgColor rgb="FFF2F5FA"/>
      </patternFill>
    </fill>
    <fill>
      <patternFill patternType="solid">
        <fgColor rgb="FFF2F5FA"/>
        <bgColor rgb="FFFFFFFF"/>
      </patternFill>
    </fill>
    <fill>
      <patternFill patternType="solid">
        <fgColor rgb="FF534AB7"/>
        <bgColor rgb="FF2E5496"/>
      </patternFill>
    </fill>
    <fill>
      <patternFill patternType="solid">
        <fgColor rgb="FF2E5496"/>
        <bgColor rgb="FF534AB7"/>
      </patternFill>
    </fill>
    <fill>
      <patternFill patternType="solid">
        <fgColor rgb="FFFFF2CC"/>
        <bgColor rgb="FFF2F5FA"/>
      </patternFill>
    </fill>
    <fill>
      <patternFill patternType="solid">
        <fgColor rgb="FF0F6E56"/>
        <bgColor rgb="FF00808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7" fillId="3" borderId="1" xfId="0" applyFont="1"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horizontal="center" vertical="center" wrapText="1"/>
    </xf>
    <xf numFmtId="0" fontId="7" fillId="4" borderId="1" xfId="0" applyFont="1" applyFill="1" applyBorder="1" applyAlignment="1">
      <alignment vertical="top" wrapText="1"/>
    </xf>
    <xf numFmtId="0" fontId="0" fillId="4" borderId="1" xfId="0" applyFill="1" applyBorder="1" applyAlignment="1">
      <alignment vertical="top" wrapText="1"/>
    </xf>
    <xf numFmtId="0" fontId="8" fillId="0" borderId="0" xfId="0" applyFont="1"/>
    <xf numFmtId="0" fontId="6" fillId="5" borderId="1" xfId="0" applyFont="1" applyFill="1" applyBorder="1" applyAlignment="1">
      <alignment horizontal="center" vertical="center" wrapText="1"/>
    </xf>
    <xf numFmtId="0" fontId="10" fillId="0" borderId="0" xfId="0" applyFont="1"/>
    <xf numFmtId="0" fontId="9" fillId="0" borderId="0" xfId="0" applyFont="1"/>
    <xf numFmtId="0" fontId="0" fillId="0" borderId="1" xfId="0"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horizontal="center" vertical="center" wrapText="1"/>
    </xf>
    <xf numFmtId="0" fontId="12" fillId="0" borderId="0" xfId="0" applyFont="1"/>
    <xf numFmtId="0" fontId="13" fillId="0" borderId="0" xfId="0" applyFont="1"/>
    <xf numFmtId="0" fontId="14" fillId="0" borderId="1" xfId="0" applyFont="1" applyBorder="1"/>
    <xf numFmtId="0" fontId="15" fillId="0" borderId="1" xfId="0" applyFont="1" applyBorder="1"/>
    <xf numFmtId="0" fontId="16" fillId="0" borderId="1" xfId="0" applyFont="1" applyBorder="1"/>
    <xf numFmtId="0" fontId="7" fillId="0" borderId="1" xfId="0" applyFont="1" applyBorder="1"/>
    <xf numFmtId="0" fontId="0" fillId="0" borderId="1" xfId="0" applyBorder="1"/>
    <xf numFmtId="0" fontId="17" fillId="4" borderId="1" xfId="0" applyFont="1" applyFill="1" applyBorder="1" applyAlignment="1">
      <alignment vertical="top" wrapText="1"/>
    </xf>
    <xf numFmtId="0" fontId="9" fillId="0" borderId="0" xfId="0" applyFont="1" applyAlignment="1">
      <alignment vertical="top" wrapText="1"/>
    </xf>
    <xf numFmtId="0" fontId="11" fillId="6" borderId="0" xfId="0" applyFont="1" applyFill="1" applyAlignment="1">
      <alignment horizontal="left" vertical="center" indent="1"/>
    </xf>
    <xf numFmtId="0" fontId="11" fillId="8" borderId="0" xfId="0" applyFont="1" applyFill="1" applyAlignment="1">
      <alignment horizontal="left" vertical="center" indent="1"/>
    </xf>
    <xf numFmtId="0" fontId="11" fillId="5" borderId="0" xfId="0" applyFont="1" applyFill="1" applyAlignment="1">
      <alignment horizontal="left" vertical="center" indent="1"/>
    </xf>
    <xf numFmtId="0" fontId="1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56"/>
      <rgbColor rgb="FFC0C0C0"/>
      <rgbColor rgb="FF878787"/>
      <rgbColor rgb="FF9999FF"/>
      <rgbColor rgb="FF534AB7"/>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Maturity by pillar</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LK"/>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'Results Dashboard'!$B$7:$B$9</c:f>
              <c:strCache>
                <c:ptCount val="3"/>
                <c:pt idx="0">
                  <c:v>AI Governance</c:v>
                </c:pt>
                <c:pt idx="1">
                  <c:v>Cyber Governance</c:v>
                </c:pt>
                <c:pt idx="2">
                  <c:v>Integration</c:v>
                </c:pt>
              </c:strCache>
            </c:strRef>
          </c:cat>
          <c:val>
            <c:numRef>
              <c:f>'Results Dashboard'!$C$7:$C$9</c:f>
              <c:numCache>
                <c:formatCode>General</c:formatCode>
                <c:ptCount val="3"/>
                <c:pt idx="0">
                  <c:v>3.13</c:v>
                </c:pt>
                <c:pt idx="1">
                  <c:v>3.47</c:v>
                </c:pt>
                <c:pt idx="2">
                  <c:v>2.33</c:v>
                </c:pt>
              </c:numCache>
            </c:numRef>
          </c:val>
          <c:extLst>
            <c:ext xmlns:c16="http://schemas.microsoft.com/office/drawing/2014/chart" uri="{C3380CC4-5D6E-409C-BE32-E72D297353CC}">
              <c16:uniqueId val="{00000000-88FA-4649-B66F-EF1AE7CFB919}"/>
            </c:ext>
          </c:extLst>
        </c:ser>
        <c:dLbls>
          <c:showLegendKey val="0"/>
          <c:showVal val="0"/>
          <c:showCatName val="0"/>
          <c:showSerName val="0"/>
          <c:showPercent val="0"/>
          <c:showBubbleSize val="0"/>
        </c:dLbls>
        <c:gapWidth val="150"/>
        <c:axId val="15528742"/>
        <c:axId val="9510312"/>
      </c:barChart>
      <c:catAx>
        <c:axId val="155287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LK"/>
          </a:p>
        </c:txPr>
        <c:crossAx val="9510312"/>
        <c:crosses val="autoZero"/>
        <c:auto val="1"/>
        <c:lblAlgn val="ctr"/>
        <c:lblOffset val="100"/>
        <c:noMultiLvlLbl val="0"/>
      </c:catAx>
      <c:valAx>
        <c:axId val="9510312"/>
        <c:scaling>
          <c:orientation val="minMax"/>
          <c:max val="5"/>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LK"/>
          </a:p>
        </c:txPr>
        <c:crossAx val="155287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Integration by dimension</a:t>
            </a:r>
          </a:p>
        </c:rich>
      </c:tx>
      <c:overlay val="0"/>
      <c:spPr>
        <a:noFill/>
        <a:ln w="0">
          <a:noFill/>
        </a:ln>
      </c:spPr>
    </c:title>
    <c:autoTitleDeleted val="0"/>
    <c:plotArea>
      <c:layout/>
      <c:barChart>
        <c:barDir val="bar"/>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LK"/>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'Results Dashboard'!$B$14:$B$18</c:f>
              <c:strCache>
                <c:ptCount val="5"/>
                <c:pt idx="0">
                  <c:v>Leadership &amp; Accountability</c:v>
                </c:pt>
                <c:pt idx="1">
                  <c:v>Risk Management</c:v>
                </c:pt>
                <c:pt idx="2">
                  <c:v>Lifecycle &amp; Data</c:v>
                </c:pt>
                <c:pt idx="3">
                  <c:v>Detection &amp; Response</c:v>
                </c:pt>
                <c:pt idx="4">
                  <c:v>Assurance &amp; Improvement</c:v>
                </c:pt>
              </c:strCache>
            </c:strRef>
          </c:cat>
          <c:val>
            <c:numRef>
              <c:f>'Results Dashboard'!$C$14:$C$18</c:f>
              <c:numCache>
                <c:formatCode>General</c:formatCode>
                <c:ptCount val="5"/>
                <c:pt idx="0">
                  <c:v>3</c:v>
                </c:pt>
                <c:pt idx="1">
                  <c:v>2</c:v>
                </c:pt>
                <c:pt idx="2">
                  <c:v>2</c:v>
                </c:pt>
                <c:pt idx="3">
                  <c:v>2</c:v>
                </c:pt>
                <c:pt idx="4">
                  <c:v>2.67</c:v>
                </c:pt>
              </c:numCache>
            </c:numRef>
          </c:val>
          <c:extLst>
            <c:ext xmlns:c16="http://schemas.microsoft.com/office/drawing/2014/chart" uri="{C3380CC4-5D6E-409C-BE32-E72D297353CC}">
              <c16:uniqueId val="{00000000-572C-D74F-B213-CA54B40C5BDA}"/>
            </c:ext>
          </c:extLst>
        </c:ser>
        <c:dLbls>
          <c:showLegendKey val="0"/>
          <c:showVal val="0"/>
          <c:showCatName val="0"/>
          <c:showSerName val="0"/>
          <c:showPercent val="0"/>
          <c:showBubbleSize val="0"/>
        </c:dLbls>
        <c:gapWidth val="150"/>
        <c:axId val="17743626"/>
        <c:axId val="80933871"/>
      </c:barChart>
      <c:catAx>
        <c:axId val="1774362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LK"/>
          </a:p>
        </c:txPr>
        <c:crossAx val="80933871"/>
        <c:crosses val="autoZero"/>
        <c:auto val="1"/>
        <c:lblAlgn val="ctr"/>
        <c:lblOffset val="100"/>
        <c:noMultiLvlLbl val="0"/>
      </c:catAx>
      <c:valAx>
        <c:axId val="80933871"/>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LK"/>
          </a:p>
        </c:txPr>
        <c:crossAx val="177436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304800</xdr:colOff>
      <xdr:row>4</xdr:row>
      <xdr:rowOff>192000</xdr:rowOff>
    </xdr:from>
    <xdr:to>
      <xdr:col>7</xdr:col>
      <xdr:colOff>544520</xdr:colOff>
      <xdr:row>18</xdr:row>
      <xdr:rowOff>21840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599440</xdr:colOff>
      <xdr:row>4</xdr:row>
      <xdr:rowOff>193040</xdr:rowOff>
    </xdr:from>
    <xdr:to>
      <xdr:col>14</xdr:col>
      <xdr:colOff>223520</xdr:colOff>
      <xdr:row>18</xdr:row>
      <xdr:rowOff>40640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8"/>
  <sheetViews>
    <sheetView showGridLines="0" topLeftCell="A17" zoomScale="172" zoomScaleNormal="100" workbookViewId="0"/>
  </sheetViews>
  <sheetFormatPr baseColWidth="10" defaultColWidth="8.6640625" defaultRowHeight="15" x14ac:dyDescent="0.2"/>
  <cols>
    <col min="1" max="1" width="3" customWidth="1"/>
    <col min="2" max="2" width="105" customWidth="1"/>
  </cols>
  <sheetData>
    <row r="2" spans="2:2" ht="21" x14ac:dyDescent="0.25">
      <c r="B2" s="1" t="s">
        <v>0</v>
      </c>
    </row>
    <row r="3" spans="2:2" ht="17" x14ac:dyDescent="0.2">
      <c r="B3" s="2" t="s">
        <v>1</v>
      </c>
    </row>
    <row r="5" spans="2:2" ht="17" x14ac:dyDescent="0.2">
      <c r="B5" s="3" t="s">
        <v>2</v>
      </c>
    </row>
    <row r="6" spans="2:2" ht="48" x14ac:dyDescent="0.2">
      <c r="B6" s="4" t="s">
        <v>3</v>
      </c>
    </row>
    <row r="8" spans="2:2" ht="17" x14ac:dyDescent="0.2">
      <c r="B8" s="3" t="s">
        <v>4</v>
      </c>
    </row>
    <row r="9" spans="2:2" ht="16" x14ac:dyDescent="0.2">
      <c r="B9" s="4" t="s">
        <v>5</v>
      </c>
    </row>
    <row r="10" spans="2:2" ht="32" x14ac:dyDescent="0.2">
      <c r="B10" s="4" t="s">
        <v>6</v>
      </c>
    </row>
    <row r="11" spans="2:2" ht="32" x14ac:dyDescent="0.2">
      <c r="B11" s="4" t="s">
        <v>7</v>
      </c>
    </row>
    <row r="12" spans="2:2" ht="16" x14ac:dyDescent="0.2">
      <c r="B12" s="4" t="s">
        <v>8</v>
      </c>
    </row>
    <row r="14" spans="2:2" ht="17" x14ac:dyDescent="0.2">
      <c r="B14" s="3" t="s">
        <v>9</v>
      </c>
    </row>
    <row r="15" spans="2:2" ht="16" x14ac:dyDescent="0.2">
      <c r="B15" s="4" t="s">
        <v>10</v>
      </c>
    </row>
    <row r="16" spans="2:2" ht="16" x14ac:dyDescent="0.2">
      <c r="B16" s="4" t="s">
        <v>11</v>
      </c>
    </row>
    <row r="17" spans="2:2" ht="32" x14ac:dyDescent="0.2">
      <c r="B17" s="4" t="s">
        <v>12</v>
      </c>
    </row>
    <row r="18" spans="2:2" ht="16" x14ac:dyDescent="0.2">
      <c r="B18" s="4"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2"/>
  <sheetViews>
    <sheetView showGridLines="0" topLeftCell="A135" zoomScale="135" zoomScaleNormal="100" workbookViewId="0">
      <selection activeCell="D24" sqref="D24"/>
    </sheetView>
  </sheetViews>
  <sheetFormatPr baseColWidth="10" defaultColWidth="8.6640625" defaultRowHeight="15" x14ac:dyDescent="0.2"/>
  <cols>
    <col min="1" max="1" width="3" customWidth="1"/>
    <col min="2" max="2" width="10" customWidth="1"/>
    <col min="3" max="3" width="20" customWidth="1"/>
    <col min="4" max="4" width="80" customWidth="1"/>
  </cols>
  <sheetData>
    <row r="2" spans="2:4" ht="21" x14ac:dyDescent="0.25">
      <c r="B2" s="1" t="s">
        <v>14</v>
      </c>
    </row>
    <row r="4" spans="2:4" ht="16" x14ac:dyDescent="0.2">
      <c r="B4" s="5" t="s">
        <v>15</v>
      </c>
    </row>
    <row r="5" spans="2:4" ht="16" x14ac:dyDescent="0.2">
      <c r="B5" s="6" t="s">
        <v>16</v>
      </c>
      <c r="C5" s="6" t="s">
        <v>17</v>
      </c>
      <c r="D5" s="6" t="s">
        <v>18</v>
      </c>
    </row>
    <row r="6" spans="2:4" ht="32" x14ac:dyDescent="0.2">
      <c r="B6" s="7">
        <v>1</v>
      </c>
      <c r="C6" s="8" t="s">
        <v>19</v>
      </c>
      <c r="D6" s="9" t="s">
        <v>20</v>
      </c>
    </row>
    <row r="7" spans="2:4" ht="32" x14ac:dyDescent="0.2">
      <c r="B7" s="10">
        <v>2</v>
      </c>
      <c r="C7" s="11" t="s">
        <v>21</v>
      </c>
      <c r="D7" s="12" t="s">
        <v>22</v>
      </c>
    </row>
    <row r="8" spans="2:4" ht="16" x14ac:dyDescent="0.2">
      <c r="B8" s="7">
        <v>3</v>
      </c>
      <c r="C8" s="8" t="s">
        <v>23</v>
      </c>
      <c r="D8" s="9" t="s">
        <v>24</v>
      </c>
    </row>
    <row r="9" spans="2:4" ht="32" x14ac:dyDescent="0.2">
      <c r="B9" s="10">
        <v>4</v>
      </c>
      <c r="C9" s="11" t="s">
        <v>25</v>
      </c>
      <c r="D9" s="12" t="s">
        <v>26</v>
      </c>
    </row>
    <row r="10" spans="2:4" ht="32" x14ac:dyDescent="0.2">
      <c r="B10" s="7">
        <v>5</v>
      </c>
      <c r="C10" s="8" t="s">
        <v>27</v>
      </c>
      <c r="D10" s="9" t="s">
        <v>28</v>
      </c>
    </row>
    <row r="12" spans="2:4" ht="16" x14ac:dyDescent="0.2">
      <c r="B12" s="13" t="s">
        <v>29</v>
      </c>
    </row>
    <row r="13" spans="2:4" ht="16" x14ac:dyDescent="0.2">
      <c r="B13" s="14" t="s">
        <v>16</v>
      </c>
      <c r="C13" s="14" t="s">
        <v>17</v>
      </c>
      <c r="D13" s="14" t="s">
        <v>30</v>
      </c>
    </row>
    <row r="14" spans="2:4" ht="16" x14ac:dyDescent="0.2">
      <c r="B14" s="7">
        <v>1</v>
      </c>
      <c r="C14" s="8" t="s">
        <v>31</v>
      </c>
      <c r="D14" s="9" t="s">
        <v>32</v>
      </c>
    </row>
    <row r="15" spans="2:4" ht="16" x14ac:dyDescent="0.2">
      <c r="B15" s="10">
        <v>2</v>
      </c>
      <c r="C15" s="11" t="s">
        <v>33</v>
      </c>
      <c r="D15" s="12" t="s">
        <v>34</v>
      </c>
    </row>
    <row r="16" spans="2:4" ht="16" x14ac:dyDescent="0.2">
      <c r="B16" s="7">
        <v>3</v>
      </c>
      <c r="C16" s="8" t="s">
        <v>35</v>
      </c>
      <c r="D16" s="9" t="s">
        <v>36</v>
      </c>
    </row>
    <row r="17" spans="2:4" ht="16" x14ac:dyDescent="0.2">
      <c r="B17" s="10">
        <v>4</v>
      </c>
      <c r="C17" s="11" t="s">
        <v>37</v>
      </c>
      <c r="D17" s="12" t="s">
        <v>38</v>
      </c>
    </row>
    <row r="18" spans="2:4" ht="32" x14ac:dyDescent="0.2">
      <c r="B18" s="7">
        <v>5</v>
      </c>
      <c r="C18" s="8" t="s">
        <v>39</v>
      </c>
      <c r="D18" s="9" t="s">
        <v>40</v>
      </c>
    </row>
    <row r="20" spans="2:4" ht="15" customHeight="1" x14ac:dyDescent="0.2">
      <c r="B20" s="28"/>
      <c r="C20" s="28"/>
      <c r="D20" s="28"/>
    </row>
    <row r="21" spans="2:4" x14ac:dyDescent="0.2">
      <c r="B21" s="28"/>
      <c r="C21" s="28"/>
      <c r="D21" s="28"/>
    </row>
    <row r="22" spans="2:4" x14ac:dyDescent="0.2">
      <c r="B22" s="28"/>
      <c r="C22" s="28"/>
      <c r="D22" s="28"/>
    </row>
  </sheetData>
  <mergeCells count="1">
    <mergeCell ref="B20:D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53"/>
  <sheetViews>
    <sheetView showGridLines="0" tabSelected="1" zoomScale="125" zoomScaleNormal="100" workbookViewId="0">
      <pane xSplit="1" ySplit="5" topLeftCell="B6" activePane="bottomRight" state="frozen"/>
      <selection pane="topRight" activeCell="B1" sqref="B1"/>
      <selection pane="bottomLeft" activeCell="A6" sqref="A6"/>
      <selection pane="bottomRight" activeCell="B3" sqref="B3"/>
    </sheetView>
  </sheetViews>
  <sheetFormatPr baseColWidth="10" defaultColWidth="8.6640625" defaultRowHeight="15" x14ac:dyDescent="0.2"/>
  <cols>
    <col min="1" max="1" width="3" customWidth="1"/>
    <col min="2" max="2" width="11" customWidth="1"/>
    <col min="3" max="3" width="26" customWidth="1"/>
    <col min="4" max="4" width="60" customWidth="1"/>
    <col min="5" max="5" width="13" customWidth="1"/>
    <col min="6" max="6" width="40" customWidth="1"/>
  </cols>
  <sheetData>
    <row r="2" spans="2:6" ht="18" x14ac:dyDescent="0.2">
      <c r="B2" s="15" t="s">
        <v>41</v>
      </c>
    </row>
    <row r="3" spans="2:6" x14ac:dyDescent="0.2">
      <c r="B3" s="32" t="s">
        <v>42</v>
      </c>
    </row>
    <row r="5" spans="2:6" ht="16" x14ac:dyDescent="0.2">
      <c r="B5" s="6" t="s">
        <v>43</v>
      </c>
      <c r="C5" s="6" t="s">
        <v>44</v>
      </c>
      <c r="D5" s="6" t="s">
        <v>45</v>
      </c>
      <c r="E5" s="6" t="s">
        <v>46</v>
      </c>
      <c r="F5" s="6" t="s">
        <v>47</v>
      </c>
    </row>
    <row r="6" spans="2:6" ht="21.75" customHeight="1" x14ac:dyDescent="0.2">
      <c r="B6" s="29" t="s">
        <v>48</v>
      </c>
      <c r="C6" s="29"/>
      <c r="D6" s="29"/>
      <c r="E6" s="29"/>
      <c r="F6" s="29"/>
    </row>
    <row r="7" spans="2:6" ht="30" customHeight="1" x14ac:dyDescent="0.2">
      <c r="B7" s="17" t="s">
        <v>49</v>
      </c>
      <c r="C7" s="18" t="s">
        <v>50</v>
      </c>
      <c r="D7" s="18" t="s">
        <v>51</v>
      </c>
      <c r="E7" s="19">
        <v>4</v>
      </c>
      <c r="F7" s="18"/>
    </row>
    <row r="8" spans="2:6" ht="30" customHeight="1" x14ac:dyDescent="0.2">
      <c r="B8" s="17" t="s">
        <v>52</v>
      </c>
      <c r="C8" s="18" t="s">
        <v>50</v>
      </c>
      <c r="D8" s="18" t="s">
        <v>53</v>
      </c>
      <c r="E8" s="19">
        <v>3</v>
      </c>
      <c r="F8" s="18"/>
    </row>
    <row r="9" spans="2:6" ht="30" customHeight="1" x14ac:dyDescent="0.2">
      <c r="B9" s="17" t="s">
        <v>54</v>
      </c>
      <c r="C9" s="18" t="s">
        <v>50</v>
      </c>
      <c r="D9" s="18" t="s">
        <v>55</v>
      </c>
      <c r="E9" s="19">
        <v>3</v>
      </c>
      <c r="F9" s="18"/>
    </row>
    <row r="10" spans="2:6" ht="30" customHeight="1" x14ac:dyDescent="0.2">
      <c r="B10" s="17" t="s">
        <v>56</v>
      </c>
      <c r="C10" s="18" t="s">
        <v>57</v>
      </c>
      <c r="D10" s="18" t="s">
        <v>58</v>
      </c>
      <c r="E10" s="19">
        <v>3</v>
      </c>
      <c r="F10" s="18"/>
    </row>
    <row r="11" spans="2:6" ht="30" customHeight="1" x14ac:dyDescent="0.2">
      <c r="B11" s="17" t="s">
        <v>59</v>
      </c>
      <c r="C11" s="18" t="s">
        <v>57</v>
      </c>
      <c r="D11" s="18" t="s">
        <v>60</v>
      </c>
      <c r="E11" s="19">
        <v>4</v>
      </c>
      <c r="F11" s="18"/>
    </row>
    <row r="12" spans="2:6" ht="30" customHeight="1" x14ac:dyDescent="0.2">
      <c r="B12" s="17" t="s">
        <v>61</v>
      </c>
      <c r="C12" s="18" t="s">
        <v>57</v>
      </c>
      <c r="D12" s="18" t="s">
        <v>62</v>
      </c>
      <c r="E12" s="19">
        <v>3</v>
      </c>
      <c r="F12" s="18"/>
    </row>
    <row r="13" spans="2:6" ht="30" customHeight="1" x14ac:dyDescent="0.2">
      <c r="B13" s="17" t="s">
        <v>63</v>
      </c>
      <c r="C13" s="18" t="s">
        <v>64</v>
      </c>
      <c r="D13" s="18" t="s">
        <v>65</v>
      </c>
      <c r="E13" s="19">
        <v>3</v>
      </c>
      <c r="F13" s="18"/>
    </row>
    <row r="14" spans="2:6" ht="30" customHeight="1" x14ac:dyDescent="0.2">
      <c r="B14" s="17" t="s">
        <v>66</v>
      </c>
      <c r="C14" s="18" t="s">
        <v>64</v>
      </c>
      <c r="D14" s="18" t="s">
        <v>67</v>
      </c>
      <c r="E14" s="19">
        <v>2</v>
      </c>
      <c r="F14" s="18"/>
    </row>
    <row r="15" spans="2:6" ht="30" customHeight="1" x14ac:dyDescent="0.2">
      <c r="B15" s="17" t="s">
        <v>68</v>
      </c>
      <c r="C15" s="18" t="s">
        <v>64</v>
      </c>
      <c r="D15" s="18" t="s">
        <v>69</v>
      </c>
      <c r="E15" s="19">
        <v>3</v>
      </c>
      <c r="F15" s="18"/>
    </row>
    <row r="16" spans="2:6" ht="30" customHeight="1" x14ac:dyDescent="0.2">
      <c r="B16" s="17" t="s">
        <v>70</v>
      </c>
      <c r="C16" s="18" t="s">
        <v>71</v>
      </c>
      <c r="D16" s="18" t="s">
        <v>72</v>
      </c>
      <c r="E16" s="19">
        <v>3</v>
      </c>
      <c r="F16" s="18"/>
    </row>
    <row r="17" spans="2:6" ht="30" customHeight="1" x14ac:dyDescent="0.2">
      <c r="B17" s="17" t="s">
        <v>73</v>
      </c>
      <c r="C17" s="18" t="s">
        <v>71</v>
      </c>
      <c r="D17" s="18" t="s">
        <v>74</v>
      </c>
      <c r="E17" s="19">
        <v>3</v>
      </c>
      <c r="F17" s="18"/>
    </row>
    <row r="18" spans="2:6" ht="30" customHeight="1" x14ac:dyDescent="0.2">
      <c r="B18" s="17" t="s">
        <v>75</v>
      </c>
      <c r="C18" s="18" t="s">
        <v>71</v>
      </c>
      <c r="D18" s="18" t="s">
        <v>76</v>
      </c>
      <c r="E18" s="19">
        <v>4</v>
      </c>
      <c r="F18" s="18"/>
    </row>
    <row r="19" spans="2:6" ht="30" customHeight="1" x14ac:dyDescent="0.2">
      <c r="B19" s="17" t="s">
        <v>77</v>
      </c>
      <c r="C19" s="18" t="s">
        <v>78</v>
      </c>
      <c r="D19" s="18" t="s">
        <v>79</v>
      </c>
      <c r="E19" s="19">
        <v>3</v>
      </c>
      <c r="F19" s="18"/>
    </row>
    <row r="20" spans="2:6" ht="30" customHeight="1" x14ac:dyDescent="0.2">
      <c r="B20" s="17" t="s">
        <v>80</v>
      </c>
      <c r="C20" s="18" t="s">
        <v>78</v>
      </c>
      <c r="D20" s="18" t="s">
        <v>81</v>
      </c>
      <c r="E20" s="19">
        <v>3</v>
      </c>
      <c r="F20" s="18"/>
    </row>
    <row r="21" spans="2:6" ht="30" customHeight="1" x14ac:dyDescent="0.2">
      <c r="B21" s="17" t="s">
        <v>82</v>
      </c>
      <c r="C21" s="18" t="s">
        <v>78</v>
      </c>
      <c r="D21" s="18" t="s">
        <v>83</v>
      </c>
      <c r="E21" s="19">
        <v>3</v>
      </c>
      <c r="F21" s="18"/>
    </row>
    <row r="22" spans="2:6" ht="21.75" customHeight="1" x14ac:dyDescent="0.2">
      <c r="B22" s="30" t="s">
        <v>84</v>
      </c>
      <c r="C22" s="30"/>
      <c r="D22" s="30"/>
      <c r="E22" s="30"/>
      <c r="F22" s="30"/>
    </row>
    <row r="23" spans="2:6" ht="30" customHeight="1" x14ac:dyDescent="0.2">
      <c r="B23" s="17" t="s">
        <v>85</v>
      </c>
      <c r="C23" s="18" t="s">
        <v>50</v>
      </c>
      <c r="D23" s="18" t="s">
        <v>86</v>
      </c>
      <c r="E23" s="19">
        <v>3</v>
      </c>
      <c r="F23" s="18"/>
    </row>
    <row r="24" spans="2:6" ht="30" customHeight="1" x14ac:dyDescent="0.2">
      <c r="B24" s="17" t="s">
        <v>87</v>
      </c>
      <c r="C24" s="18" t="s">
        <v>50</v>
      </c>
      <c r="D24" s="18" t="s">
        <v>88</v>
      </c>
      <c r="E24" s="19">
        <v>4</v>
      </c>
      <c r="F24" s="18"/>
    </row>
    <row r="25" spans="2:6" ht="30" customHeight="1" x14ac:dyDescent="0.2">
      <c r="B25" s="17" t="s">
        <v>89</v>
      </c>
      <c r="C25" s="18" t="s">
        <v>50</v>
      </c>
      <c r="D25" s="18" t="s">
        <v>90</v>
      </c>
      <c r="E25" s="19">
        <v>3</v>
      </c>
      <c r="F25" s="18"/>
    </row>
    <row r="26" spans="2:6" ht="30" customHeight="1" x14ac:dyDescent="0.2">
      <c r="B26" s="17" t="s">
        <v>91</v>
      </c>
      <c r="C26" s="18" t="s">
        <v>57</v>
      </c>
      <c r="D26" s="18" t="s">
        <v>92</v>
      </c>
      <c r="E26" s="19">
        <v>2</v>
      </c>
      <c r="F26" s="18"/>
    </row>
    <row r="27" spans="2:6" ht="30" customHeight="1" x14ac:dyDescent="0.2">
      <c r="B27" s="17" t="s">
        <v>93</v>
      </c>
      <c r="C27" s="18" t="s">
        <v>57</v>
      </c>
      <c r="D27" s="18" t="s">
        <v>94</v>
      </c>
      <c r="E27" s="19">
        <v>4</v>
      </c>
      <c r="F27" s="18"/>
    </row>
    <row r="28" spans="2:6" ht="30" customHeight="1" x14ac:dyDescent="0.2">
      <c r="B28" s="17" t="s">
        <v>95</v>
      </c>
      <c r="C28" s="18" t="s">
        <v>57</v>
      </c>
      <c r="D28" s="18" t="s">
        <v>96</v>
      </c>
      <c r="E28" s="19">
        <v>4</v>
      </c>
      <c r="F28" s="18"/>
    </row>
    <row r="29" spans="2:6" ht="30" customHeight="1" x14ac:dyDescent="0.2">
      <c r="B29" s="17" t="s">
        <v>97</v>
      </c>
      <c r="C29" s="18" t="s">
        <v>98</v>
      </c>
      <c r="D29" s="18" t="s">
        <v>99</v>
      </c>
      <c r="E29" s="19">
        <v>2</v>
      </c>
      <c r="F29" s="18"/>
    </row>
    <row r="30" spans="2:6" ht="30" customHeight="1" x14ac:dyDescent="0.2">
      <c r="B30" s="17" t="s">
        <v>100</v>
      </c>
      <c r="C30" s="18" t="s">
        <v>98</v>
      </c>
      <c r="D30" s="18" t="s">
        <v>101</v>
      </c>
      <c r="E30" s="19">
        <v>4</v>
      </c>
      <c r="F30" s="18"/>
    </row>
    <row r="31" spans="2:6" ht="30" customHeight="1" x14ac:dyDescent="0.2">
      <c r="B31" s="17" t="s">
        <v>102</v>
      </c>
      <c r="C31" s="18" t="s">
        <v>98</v>
      </c>
      <c r="D31" s="18" t="s">
        <v>103</v>
      </c>
      <c r="E31" s="19">
        <v>4</v>
      </c>
      <c r="F31" s="18"/>
    </row>
    <row r="32" spans="2:6" ht="30" customHeight="1" x14ac:dyDescent="0.2">
      <c r="B32" s="17" t="s">
        <v>104</v>
      </c>
      <c r="C32" s="18" t="s">
        <v>105</v>
      </c>
      <c r="D32" s="18" t="s">
        <v>106</v>
      </c>
      <c r="E32" s="19">
        <v>4</v>
      </c>
      <c r="F32" s="18"/>
    </row>
    <row r="33" spans="2:6" ht="30" customHeight="1" x14ac:dyDescent="0.2">
      <c r="B33" s="17" t="s">
        <v>107</v>
      </c>
      <c r="C33" s="18" t="s">
        <v>105</v>
      </c>
      <c r="D33" s="18" t="s">
        <v>108</v>
      </c>
      <c r="E33" s="19">
        <v>4</v>
      </c>
      <c r="F33" s="18"/>
    </row>
    <row r="34" spans="2:6" ht="30" customHeight="1" x14ac:dyDescent="0.2">
      <c r="B34" s="17" t="s">
        <v>109</v>
      </c>
      <c r="C34" s="18" t="s">
        <v>105</v>
      </c>
      <c r="D34" s="18" t="s">
        <v>110</v>
      </c>
      <c r="E34" s="19">
        <v>4</v>
      </c>
      <c r="F34" s="18"/>
    </row>
    <row r="35" spans="2:6" ht="30" customHeight="1" x14ac:dyDescent="0.2">
      <c r="B35" s="17" t="s">
        <v>111</v>
      </c>
      <c r="C35" s="18" t="s">
        <v>78</v>
      </c>
      <c r="D35" s="18" t="s">
        <v>112</v>
      </c>
      <c r="E35" s="19">
        <v>4</v>
      </c>
      <c r="F35" s="18"/>
    </row>
    <row r="36" spans="2:6" ht="30" customHeight="1" x14ac:dyDescent="0.2">
      <c r="B36" s="17" t="s">
        <v>113</v>
      </c>
      <c r="C36" s="18" t="s">
        <v>78</v>
      </c>
      <c r="D36" s="18" t="s">
        <v>114</v>
      </c>
      <c r="E36" s="19">
        <v>2</v>
      </c>
      <c r="F36" s="18"/>
    </row>
    <row r="37" spans="2:6" ht="30" customHeight="1" x14ac:dyDescent="0.2">
      <c r="B37" s="17" t="s">
        <v>115</v>
      </c>
      <c r="C37" s="18" t="s">
        <v>78</v>
      </c>
      <c r="D37" s="18" t="s">
        <v>116</v>
      </c>
      <c r="E37" s="19">
        <v>4</v>
      </c>
      <c r="F37" s="18"/>
    </row>
    <row r="38" spans="2:6" ht="21.75" customHeight="1" x14ac:dyDescent="0.2">
      <c r="B38" s="31" t="s">
        <v>158</v>
      </c>
      <c r="C38" s="31"/>
      <c r="D38" s="31"/>
      <c r="E38" s="31"/>
      <c r="F38" s="31"/>
    </row>
    <row r="39" spans="2:6" ht="30" customHeight="1" x14ac:dyDescent="0.2">
      <c r="B39" s="17" t="s">
        <v>117</v>
      </c>
      <c r="C39" s="18" t="s">
        <v>50</v>
      </c>
      <c r="D39" s="18" t="s">
        <v>118</v>
      </c>
      <c r="E39" s="19">
        <v>3</v>
      </c>
      <c r="F39" s="18"/>
    </row>
    <row r="40" spans="2:6" ht="30" customHeight="1" x14ac:dyDescent="0.2">
      <c r="B40" s="17" t="s">
        <v>119</v>
      </c>
      <c r="C40" s="18" t="s">
        <v>50</v>
      </c>
      <c r="D40" s="18" t="s">
        <v>120</v>
      </c>
      <c r="E40" s="19">
        <v>3</v>
      </c>
      <c r="F40" s="18"/>
    </row>
    <row r="41" spans="2:6" ht="30" customHeight="1" x14ac:dyDescent="0.2">
      <c r="B41" s="17" t="s">
        <v>121</v>
      </c>
      <c r="C41" s="18" t="s">
        <v>50</v>
      </c>
      <c r="D41" s="18" t="s">
        <v>122</v>
      </c>
      <c r="E41" s="19">
        <v>3</v>
      </c>
      <c r="F41" s="18"/>
    </row>
    <row r="42" spans="2:6" ht="30" customHeight="1" x14ac:dyDescent="0.2">
      <c r="B42" s="17" t="s">
        <v>123</v>
      </c>
      <c r="C42" s="18" t="s">
        <v>57</v>
      </c>
      <c r="D42" s="18" t="s">
        <v>124</v>
      </c>
      <c r="E42" s="19">
        <v>2</v>
      </c>
      <c r="F42" s="18"/>
    </row>
    <row r="43" spans="2:6" ht="30" customHeight="1" x14ac:dyDescent="0.2">
      <c r="B43" s="17" t="s">
        <v>125</v>
      </c>
      <c r="C43" s="18" t="s">
        <v>57</v>
      </c>
      <c r="D43" s="18" t="s">
        <v>126</v>
      </c>
      <c r="E43" s="19">
        <v>2</v>
      </c>
      <c r="F43" s="18"/>
    </row>
    <row r="44" spans="2:6" ht="30" customHeight="1" x14ac:dyDescent="0.2">
      <c r="B44" s="17" t="s">
        <v>127</v>
      </c>
      <c r="C44" s="18" t="s">
        <v>57</v>
      </c>
      <c r="D44" s="18" t="s">
        <v>128</v>
      </c>
      <c r="E44" s="19">
        <v>2</v>
      </c>
      <c r="F44" s="18"/>
    </row>
    <row r="45" spans="2:6" ht="30" customHeight="1" x14ac:dyDescent="0.2">
      <c r="B45" s="17" t="s">
        <v>129</v>
      </c>
      <c r="C45" s="18" t="s">
        <v>64</v>
      </c>
      <c r="D45" s="18" t="s">
        <v>130</v>
      </c>
      <c r="E45" s="19">
        <v>2</v>
      </c>
      <c r="F45" s="18"/>
    </row>
    <row r="46" spans="2:6" ht="30" customHeight="1" x14ac:dyDescent="0.2">
      <c r="B46" s="17" t="s">
        <v>131</v>
      </c>
      <c r="C46" s="18" t="s">
        <v>64</v>
      </c>
      <c r="D46" s="18" t="s">
        <v>132</v>
      </c>
      <c r="E46" s="19">
        <v>2</v>
      </c>
      <c r="F46" s="18"/>
    </row>
    <row r="47" spans="2:6" ht="30" customHeight="1" x14ac:dyDescent="0.2">
      <c r="B47" s="17" t="s">
        <v>133</v>
      </c>
      <c r="C47" s="18" t="s">
        <v>64</v>
      </c>
      <c r="D47" s="18" t="s">
        <v>134</v>
      </c>
      <c r="E47" s="19">
        <v>2</v>
      </c>
      <c r="F47" s="18"/>
    </row>
    <row r="48" spans="2:6" ht="30" customHeight="1" x14ac:dyDescent="0.2">
      <c r="B48" s="17" t="s">
        <v>135</v>
      </c>
      <c r="C48" s="18" t="s">
        <v>105</v>
      </c>
      <c r="D48" s="18" t="s">
        <v>136</v>
      </c>
      <c r="E48" s="19">
        <v>2</v>
      </c>
      <c r="F48" s="18"/>
    </row>
    <row r="49" spans="2:6" ht="30" customHeight="1" x14ac:dyDescent="0.2">
      <c r="B49" s="17" t="s">
        <v>137</v>
      </c>
      <c r="C49" s="18" t="s">
        <v>105</v>
      </c>
      <c r="D49" s="18" t="s">
        <v>138</v>
      </c>
      <c r="E49" s="19">
        <v>2</v>
      </c>
      <c r="F49" s="18"/>
    </row>
    <row r="50" spans="2:6" ht="30" customHeight="1" x14ac:dyDescent="0.2">
      <c r="B50" s="17" t="s">
        <v>139</v>
      </c>
      <c r="C50" s="18" t="s">
        <v>105</v>
      </c>
      <c r="D50" s="18" t="s">
        <v>140</v>
      </c>
      <c r="E50" s="19">
        <v>2</v>
      </c>
      <c r="F50" s="18"/>
    </row>
    <row r="51" spans="2:6" ht="30" customHeight="1" x14ac:dyDescent="0.2">
      <c r="B51" s="17" t="s">
        <v>141</v>
      </c>
      <c r="C51" s="18" t="s">
        <v>78</v>
      </c>
      <c r="D51" s="18" t="s">
        <v>142</v>
      </c>
      <c r="E51" s="19">
        <v>2</v>
      </c>
      <c r="F51" s="18"/>
    </row>
    <row r="52" spans="2:6" ht="30" customHeight="1" x14ac:dyDescent="0.2">
      <c r="B52" s="17" t="s">
        <v>143</v>
      </c>
      <c r="C52" s="18" t="s">
        <v>78</v>
      </c>
      <c r="D52" s="18" t="s">
        <v>144</v>
      </c>
      <c r="E52" s="19">
        <v>3</v>
      </c>
      <c r="F52" s="18"/>
    </row>
    <row r="53" spans="2:6" ht="30" customHeight="1" x14ac:dyDescent="0.2">
      <c r="B53" s="17" t="s">
        <v>145</v>
      </c>
      <c r="C53" s="18" t="s">
        <v>78</v>
      </c>
      <c r="D53" s="18" t="s">
        <v>146</v>
      </c>
      <c r="E53" s="19">
        <v>3</v>
      </c>
      <c r="F53" s="18"/>
    </row>
  </sheetData>
  <mergeCells count="3">
    <mergeCell ref="B6:F6"/>
    <mergeCell ref="B22:F22"/>
    <mergeCell ref="B38:F38"/>
  </mergeCells>
  <dataValidations count="1">
    <dataValidation type="list" allowBlank="1" sqref="E23:E37 E7:E21 E39:E53" xr:uid="{00000000-0002-0000-0200-000000000000}">
      <formula1>"1,2,3,4,5"</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24"/>
  <sheetViews>
    <sheetView showGridLines="0" zoomScale="125" zoomScaleNormal="100" workbookViewId="0">
      <selection activeCell="B26" sqref="B26"/>
    </sheetView>
  </sheetViews>
  <sheetFormatPr baseColWidth="10" defaultColWidth="8.6640625" defaultRowHeight="15" x14ac:dyDescent="0.2"/>
  <cols>
    <col min="1" max="1" width="3" customWidth="1"/>
    <col min="2" max="2" width="30" customWidth="1"/>
    <col min="3" max="5" width="14" customWidth="1"/>
    <col min="6" max="6" width="30" customWidth="1"/>
  </cols>
  <sheetData>
    <row r="2" spans="2:4" ht="21" x14ac:dyDescent="0.25">
      <c r="B2" s="20" t="s">
        <v>147</v>
      </c>
    </row>
    <row r="3" spans="2:4" x14ac:dyDescent="0.2">
      <c r="B3" s="16"/>
    </row>
    <row r="5" spans="2:4" ht="16" x14ac:dyDescent="0.2">
      <c r="B5" s="21" t="s">
        <v>148</v>
      </c>
    </row>
    <row r="6" spans="2:4" ht="16" x14ac:dyDescent="0.2">
      <c r="B6" s="6" t="s">
        <v>149</v>
      </c>
      <c r="C6" s="6" t="s">
        <v>150</v>
      </c>
      <c r="D6" s="6" t="s">
        <v>151</v>
      </c>
    </row>
    <row r="7" spans="2:4" ht="16" x14ac:dyDescent="0.2">
      <c r="B7" s="22" t="s">
        <v>152</v>
      </c>
      <c r="C7" s="17">
        <f>IFERROR(ROUND(AVERAGE('Self-Assessment'!E7:E21),2),"—")</f>
        <v>3.13</v>
      </c>
      <c r="D7" s="17" t="str">
        <f>COUNT('Self-Assessment'!E7:E21)&amp;" / 15"</f>
        <v>15 / 15</v>
      </c>
    </row>
    <row r="8" spans="2:4" ht="16" x14ac:dyDescent="0.2">
      <c r="B8" s="23" t="s">
        <v>153</v>
      </c>
      <c r="C8" s="17">
        <f>IFERROR(ROUND(AVERAGE('Self-Assessment'!E23:E37),2),"—")</f>
        <v>3.47</v>
      </c>
      <c r="D8" s="17" t="str">
        <f>COUNT('Self-Assessment'!E23:E37)&amp;" / 15"</f>
        <v>15 / 15</v>
      </c>
    </row>
    <row r="9" spans="2:4" ht="16" x14ac:dyDescent="0.2">
      <c r="B9" s="24" t="s">
        <v>154</v>
      </c>
      <c r="C9" s="17">
        <f>IFERROR(ROUND(AVERAGE('Self-Assessment'!E39:E53),2),"—")</f>
        <v>2.33</v>
      </c>
      <c r="D9" s="17" t="str">
        <f>COUNT('Self-Assessment'!E39:E53)&amp;" / 15"</f>
        <v>15 / 15</v>
      </c>
    </row>
    <row r="10" spans="2:4" x14ac:dyDescent="0.2">
      <c r="B10" s="25" t="s">
        <v>155</v>
      </c>
      <c r="C10" s="17">
        <f>IFERROR(ROUND(C8-C7,2),"—")</f>
        <v>0.34</v>
      </c>
      <c r="D10" s="26"/>
    </row>
    <row r="12" spans="2:4" ht="16" x14ac:dyDescent="0.2">
      <c r="B12" s="21" t="s">
        <v>156</v>
      </c>
    </row>
    <row r="13" spans="2:4" ht="16" x14ac:dyDescent="0.2">
      <c r="B13" s="14" t="s">
        <v>44</v>
      </c>
      <c r="C13" s="14" t="s">
        <v>150</v>
      </c>
    </row>
    <row r="14" spans="2:4" ht="16" x14ac:dyDescent="0.2">
      <c r="B14" s="18" t="s">
        <v>50</v>
      </c>
      <c r="C14" s="17">
        <f>IFERROR(ROUND(AVERAGE('Self-Assessment'!E39:E41),2),"—")</f>
        <v>3</v>
      </c>
    </row>
    <row r="15" spans="2:4" ht="16" x14ac:dyDescent="0.2">
      <c r="B15" s="18" t="s">
        <v>57</v>
      </c>
      <c r="C15" s="17">
        <f>IFERROR(ROUND(AVERAGE('Self-Assessment'!E42:E44),2),"—")</f>
        <v>2</v>
      </c>
    </row>
    <row r="16" spans="2:4" ht="16" x14ac:dyDescent="0.2">
      <c r="B16" s="18" t="s">
        <v>64</v>
      </c>
      <c r="C16" s="17">
        <f>IFERROR(ROUND(AVERAGE('Self-Assessment'!E45:E47),2),"—")</f>
        <v>2</v>
      </c>
    </row>
    <row r="17" spans="2:6" ht="16" x14ac:dyDescent="0.2">
      <c r="B17" s="18" t="s">
        <v>105</v>
      </c>
      <c r="C17" s="17">
        <f>IFERROR(ROUND(AVERAGE('Self-Assessment'!E48:E50),2),"—")</f>
        <v>2</v>
      </c>
    </row>
    <row r="18" spans="2:6" ht="16" x14ac:dyDescent="0.2">
      <c r="B18" s="18" t="s">
        <v>78</v>
      </c>
      <c r="C18" s="17">
        <f>IFERROR(ROUND(AVERAGE('Self-Assessment'!E51:E53),2),"—")</f>
        <v>2.67</v>
      </c>
    </row>
    <row r="20" spans="2:6" ht="16" x14ac:dyDescent="0.2">
      <c r="B20" s="21" t="s">
        <v>157</v>
      </c>
    </row>
    <row r="21" spans="2:6" x14ac:dyDescent="0.2">
      <c r="B21" s="27" t="str">
        <f>IF(COUNT('Self-Assessment'!E7:E21,'Self-Assessment'!E23:E37,'Self-Assessment'!E39:E53)&lt;45,"Complete all 45 indicators to see your full diagnosis. Scores entered so far: "&amp;COUNT('Self-Assessment'!E7:E21,'Self-Assessment'!E23:E37,'Self-Assessment'!E39:E53)&amp;" of 45.",IF(C9&lt;C7,IF(C9&lt;C8,"Your integration score ("&amp;C9&amp;") is lower than both your AI governance ("&amp;C7&amp;") and cyber security ("&amp;C8&amp;") scores. This means your organisation governs both areas but has not joined them up. Focus on the weakest integration dimension shown above.","Your governance is developing, but integration lags. Review the integration dimensions above to see where AI and cyber are least connected."),"Your AI and cyber governance are reasonably matched. Check the integration dimensions above to confirm the two areas are genuinely connected, not just separately mature."))</f>
        <v>Your integration score (2.33) is lower than both your AI governance (3.13) and cyber security (3.47) scores. This means your organisation governs both areas but has not joined them up. Focus on the weakest integration dimension shown above.</v>
      </c>
      <c r="C21" s="27"/>
      <c r="D21" s="27"/>
      <c r="E21" s="27"/>
      <c r="F21" s="27"/>
    </row>
    <row r="22" spans="2:6" x14ac:dyDescent="0.2">
      <c r="B22" s="27"/>
      <c r="C22" s="27"/>
      <c r="D22" s="27"/>
      <c r="E22" s="27"/>
      <c r="F22" s="27"/>
    </row>
    <row r="23" spans="2:6" x14ac:dyDescent="0.2">
      <c r="B23" s="27"/>
      <c r="C23" s="27"/>
      <c r="D23" s="27"/>
      <c r="E23" s="27"/>
      <c r="F23" s="27"/>
    </row>
    <row r="24" spans="2:6" x14ac:dyDescent="0.2">
      <c r="B24" s="27"/>
      <c r="C24" s="27"/>
      <c r="D24" s="27"/>
      <c r="E24" s="27"/>
      <c r="F24" s="27"/>
    </row>
  </sheetData>
  <mergeCells count="1">
    <mergeCell ref="B21:F24"/>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Scoring Rubric</vt:lpstr>
      <vt:lpstr>Self-Assessment</vt:lpstr>
      <vt:lpstr>Results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Kirshika Sriranjan</cp:lastModifiedBy>
  <cp:revision>1</cp:revision>
  <dcterms:created xsi:type="dcterms:W3CDTF">2026-07-16T21:43:01Z</dcterms:created>
  <dcterms:modified xsi:type="dcterms:W3CDTF">2026-08-12T01:08:31Z</dcterms:modified>
  <dc:language>en-US</dc:language>
</cp:coreProperties>
</file>
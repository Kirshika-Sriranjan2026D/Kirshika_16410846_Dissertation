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livecoventryac-my.sharepoint.com/personal/sriranjank_uni_coventry_ac_uk/Documents/Dissertation Files/"/>
    </mc:Choice>
  </mc:AlternateContent>
  <xr:revisionPtr revIDLastSave="373" documentId="8_{7B4D6EB7-A967-3041-9548-7E451DE3AFDA}" xr6:coauthVersionLast="47" xr6:coauthVersionMax="47" xr10:uidLastSave="{5770ECEA-FE5D-A542-AEE8-B80E825832E5}"/>
  <bookViews>
    <workbookView xWindow="0" yWindow="700" windowWidth="34200" windowHeight="20060" tabRatio="500" activeTab="2" xr2:uid="{00000000-000D-0000-FFFF-FFFF00000000}"/>
  </bookViews>
  <sheets>
    <sheet name="Indicators and Framework Map " sheetId="20" r:id="rId1"/>
    <sheet name="Worksheet" sheetId="15" r:id="rId2"/>
    <sheet name="Worksheet 2" sheetId="16" r:id="rId3"/>
    <sheet name="Scoring Rubrics" sheetId="14" r:id="rId4"/>
    <sheet name="Codebook_Worksheet" sheetId="18" r:id="rId5"/>
    <sheet name="HSBC" sheetId="2" r:id="rId6"/>
    <sheet name="Barclays" sheetId="3" r:id="rId7"/>
    <sheet name="Lloyds" sheetId="4" r:id="rId8"/>
    <sheet name="Aviva" sheetId="5" r:id="rId9"/>
    <sheet name="LG" sheetId="6" r:id="rId10"/>
    <sheet name="Prudential" sheetId="7" r:id="rId11"/>
    <sheet name="3i" sheetId="8" r:id="rId12"/>
    <sheet name="MG" sheetId="9" r:id="rId13"/>
    <sheet name="Schroders" sheetId="10" r:id="rId14"/>
    <sheet name="LSEG" sheetId="11" r:id="rId15"/>
    <sheet name="Experian" sheetId="12" r:id="rId16"/>
    <sheet name="Wise" sheetId="13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8" l="1"/>
  <c r="E61" i="18"/>
  <c r="E60" i="18"/>
  <c r="C60" i="18"/>
  <c r="B60" i="18"/>
  <c r="E59" i="18"/>
  <c r="C59" i="18"/>
  <c r="D59" i="18" s="1"/>
  <c r="B59" i="18"/>
  <c r="E58" i="18"/>
  <c r="C58" i="18"/>
  <c r="D58" i="18" s="1"/>
  <c r="B58" i="18"/>
  <c r="B53" i="18"/>
  <c r="B52" i="18"/>
  <c r="B51" i="18"/>
  <c r="B54" i="18" l="1"/>
  <c r="D60" i="18"/>
  <c r="AF43" i="15"/>
  <c r="AF44" i="15"/>
  <c r="AF45" i="15"/>
  <c r="AF46" i="15"/>
  <c r="AF42" i="15"/>
  <c r="N4" i="16" l="1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19" i="16"/>
  <c r="D20" i="16"/>
  <c r="D21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4" i="16"/>
  <c r="C22" i="16"/>
  <c r="C23" i="16"/>
  <c r="O23" i="16" s="1"/>
  <c r="C24" i="16"/>
  <c r="Q24" i="16" s="1"/>
  <c r="C25" i="16"/>
  <c r="C26" i="16"/>
  <c r="C27" i="16"/>
  <c r="Q27" i="16" s="1"/>
  <c r="C28" i="16"/>
  <c r="C29" i="16"/>
  <c r="C30" i="16"/>
  <c r="C31" i="16"/>
  <c r="C32" i="16"/>
  <c r="C33" i="16"/>
  <c r="O33" i="16" s="1"/>
  <c r="C35" i="16"/>
  <c r="Q35" i="16" s="1"/>
  <c r="C36" i="16"/>
  <c r="Q36" i="16" s="1"/>
  <c r="C37" i="16"/>
  <c r="C38" i="16"/>
  <c r="Q38" i="16" s="1"/>
  <c r="C39" i="16"/>
  <c r="C40" i="16"/>
  <c r="C41" i="16"/>
  <c r="C42" i="16"/>
  <c r="Q42" i="16" s="1"/>
  <c r="C43" i="16"/>
  <c r="Q43" i="16" s="1"/>
  <c r="C44" i="16"/>
  <c r="Q44" i="16" s="1"/>
  <c r="C45" i="16"/>
  <c r="Q45" i="16" s="1"/>
  <c r="C46" i="16"/>
  <c r="Q46" i="16" s="1"/>
  <c r="C47" i="16"/>
  <c r="C48" i="16"/>
  <c r="Q48" i="16" s="1"/>
  <c r="C49" i="16"/>
  <c r="C5" i="16"/>
  <c r="C6" i="16"/>
  <c r="C7" i="16"/>
  <c r="Q7" i="16" s="1"/>
  <c r="C8" i="16"/>
  <c r="P8" i="16" s="1"/>
  <c r="C9" i="16"/>
  <c r="Q9" i="16" s="1"/>
  <c r="C10" i="16"/>
  <c r="Q10" i="16" s="1"/>
  <c r="C11" i="16"/>
  <c r="C12" i="16"/>
  <c r="Q12" i="16" s="1"/>
  <c r="C13" i="16"/>
  <c r="Q13" i="16" s="1"/>
  <c r="C14" i="16"/>
  <c r="C15" i="16"/>
  <c r="C16" i="16"/>
  <c r="C17" i="16"/>
  <c r="Q17" i="16" s="1"/>
  <c r="C19" i="16"/>
  <c r="P19" i="16" s="1"/>
  <c r="C20" i="16"/>
  <c r="P20" i="16" s="1"/>
  <c r="C21" i="16"/>
  <c r="Q21" i="16" s="1"/>
  <c r="C4" i="16"/>
  <c r="N3" i="16"/>
  <c r="M3" i="16"/>
  <c r="L3" i="16"/>
  <c r="K3" i="16"/>
  <c r="J3" i="16"/>
  <c r="I3" i="16"/>
  <c r="H3" i="16"/>
  <c r="G3" i="16"/>
  <c r="F3" i="16"/>
  <c r="E3" i="16"/>
  <c r="D3" i="16"/>
  <c r="C3" i="16"/>
  <c r="D70" i="15"/>
  <c r="D69" i="15"/>
  <c r="D68" i="15"/>
  <c r="D66" i="15"/>
  <c r="D65" i="15"/>
  <c r="D56" i="15"/>
  <c r="D54" i="15"/>
  <c r="D55" i="15"/>
  <c r="D53" i="15"/>
  <c r="D52" i="15"/>
  <c r="D51" i="15"/>
  <c r="D50" i="15"/>
  <c r="D49" i="15"/>
  <c r="AD32" i="15"/>
  <c r="AC32" i="15"/>
  <c r="AB32" i="15"/>
  <c r="AA32" i="15"/>
  <c r="Z32" i="15"/>
  <c r="Y32" i="15"/>
  <c r="X32" i="15"/>
  <c r="W32" i="15"/>
  <c r="AD31" i="15"/>
  <c r="AC31" i="15"/>
  <c r="AB31" i="15"/>
  <c r="AA31" i="15"/>
  <c r="Z31" i="15"/>
  <c r="Y31" i="15"/>
  <c r="X31" i="15"/>
  <c r="W31" i="15"/>
  <c r="T31" i="15"/>
  <c r="S32" i="15"/>
  <c r="AD30" i="15"/>
  <c r="AC30" i="15"/>
  <c r="AB30" i="15"/>
  <c r="AA30" i="15"/>
  <c r="Z30" i="15"/>
  <c r="Y30" i="15"/>
  <c r="X30" i="15"/>
  <c r="W30" i="15"/>
  <c r="U30" i="15"/>
  <c r="T30" i="15"/>
  <c r="AD34" i="15"/>
  <c r="AD33" i="15"/>
  <c r="AC34" i="15"/>
  <c r="AC33" i="15"/>
  <c r="AB34" i="15"/>
  <c r="AB33" i="15"/>
  <c r="AA34" i="15"/>
  <c r="AA33" i="15"/>
  <c r="Z34" i="15"/>
  <c r="Z33" i="15"/>
  <c r="Y34" i="15"/>
  <c r="Y33" i="15"/>
  <c r="X34" i="15"/>
  <c r="X33" i="15"/>
  <c r="W34" i="15"/>
  <c r="W33" i="15"/>
  <c r="U34" i="15"/>
  <c r="U33" i="15"/>
  <c r="T33" i="15"/>
  <c r="S34" i="15"/>
  <c r="S33" i="15"/>
  <c r="E64" i="13"/>
  <c r="E63" i="13"/>
  <c r="E64" i="12"/>
  <c r="E63" i="12"/>
  <c r="E64" i="11"/>
  <c r="E63" i="11"/>
  <c r="E64" i="10"/>
  <c r="E63" i="10"/>
  <c r="E63" i="9"/>
  <c r="E64" i="9"/>
  <c r="E64" i="8"/>
  <c r="E63" i="8"/>
  <c r="E64" i="7"/>
  <c r="E63" i="7"/>
  <c r="E64" i="6"/>
  <c r="E63" i="6"/>
  <c r="E64" i="5"/>
  <c r="V34" i="15" s="1"/>
  <c r="E63" i="5"/>
  <c r="V33" i="15" s="1"/>
  <c r="E64" i="4"/>
  <c r="E63" i="4"/>
  <c r="E64" i="3"/>
  <c r="T34" i="15" s="1"/>
  <c r="E63" i="3"/>
  <c r="E62" i="2"/>
  <c r="E61" i="2"/>
  <c r="E10" i="15"/>
  <c r="E12" i="15"/>
  <c r="D13" i="15"/>
  <c r="D12" i="15"/>
  <c r="D11" i="15"/>
  <c r="S5" i="15" s="1"/>
  <c r="D10" i="15"/>
  <c r="D9" i="15"/>
  <c r="D8" i="15"/>
  <c r="D7" i="15"/>
  <c r="D6" i="15"/>
  <c r="D3" i="15"/>
  <c r="C13" i="15"/>
  <c r="E13" i="15" s="1"/>
  <c r="C12" i="15"/>
  <c r="C11" i="15"/>
  <c r="E11" i="15" s="1"/>
  <c r="C10" i="15"/>
  <c r="C9" i="15"/>
  <c r="C8" i="15"/>
  <c r="E8" i="15" s="1"/>
  <c r="C7" i="15"/>
  <c r="C6" i="15"/>
  <c r="E6" i="15" s="1"/>
  <c r="C5" i="15"/>
  <c r="E5" i="15" s="1"/>
  <c r="B13" i="15"/>
  <c r="B12" i="15"/>
  <c r="B11" i="15"/>
  <c r="Q5" i="15" s="1"/>
  <c r="B10" i="15"/>
  <c r="B9" i="15"/>
  <c r="B8" i="15"/>
  <c r="B7" i="15"/>
  <c r="E7" i="15" s="1"/>
  <c r="B6" i="15"/>
  <c r="E60" i="13"/>
  <c r="C60" i="13"/>
  <c r="D60" i="13" s="1"/>
  <c r="B60" i="13"/>
  <c r="E59" i="13"/>
  <c r="C59" i="13"/>
  <c r="D59" i="13" s="1"/>
  <c r="B59" i="13"/>
  <c r="E58" i="13"/>
  <c r="C58" i="13"/>
  <c r="D58" i="13" s="1"/>
  <c r="B58" i="13"/>
  <c r="B54" i="13"/>
  <c r="B53" i="13"/>
  <c r="B52" i="13"/>
  <c r="B51" i="13"/>
  <c r="E60" i="11"/>
  <c r="C60" i="11"/>
  <c r="D60" i="11" s="1"/>
  <c r="B60" i="11"/>
  <c r="E59" i="11"/>
  <c r="C59" i="11"/>
  <c r="D59" i="11" s="1"/>
  <c r="B59" i="11"/>
  <c r="E58" i="11"/>
  <c r="C58" i="11"/>
  <c r="D58" i="11" s="1"/>
  <c r="B58" i="11"/>
  <c r="B54" i="11"/>
  <c r="B53" i="11"/>
  <c r="B52" i="11"/>
  <c r="B51" i="11"/>
  <c r="E60" i="10"/>
  <c r="C60" i="10"/>
  <c r="B60" i="10"/>
  <c r="D60" i="10" s="1"/>
  <c r="E59" i="10"/>
  <c r="C59" i="10"/>
  <c r="D59" i="10" s="1"/>
  <c r="B59" i="10"/>
  <c r="E58" i="10"/>
  <c r="C58" i="10"/>
  <c r="D58" i="10" s="1"/>
  <c r="B58" i="10"/>
  <c r="B53" i="10"/>
  <c r="B52" i="10"/>
  <c r="B54" i="10" s="1"/>
  <c r="B51" i="10"/>
  <c r="E60" i="9"/>
  <c r="C60" i="9"/>
  <c r="D60" i="9" s="1"/>
  <c r="B60" i="9"/>
  <c r="E59" i="9"/>
  <c r="C59" i="9"/>
  <c r="B59" i="9"/>
  <c r="D59" i="9" s="1"/>
  <c r="E58" i="9"/>
  <c r="C58" i="9"/>
  <c r="D58" i="9" s="1"/>
  <c r="B58" i="9"/>
  <c r="B53" i="9"/>
  <c r="B52" i="9"/>
  <c r="B54" i="9" s="1"/>
  <c r="B51" i="9"/>
  <c r="E60" i="8"/>
  <c r="C60" i="8"/>
  <c r="D60" i="8" s="1"/>
  <c r="B60" i="8"/>
  <c r="E59" i="8"/>
  <c r="C59" i="8"/>
  <c r="D59" i="8" s="1"/>
  <c r="B59" i="8"/>
  <c r="E58" i="8"/>
  <c r="C58" i="8"/>
  <c r="B58" i="8"/>
  <c r="D58" i="8" s="1"/>
  <c r="B53" i="8"/>
  <c r="B52" i="8"/>
  <c r="B54" i="8" s="1"/>
  <c r="B51" i="8"/>
  <c r="E60" i="7"/>
  <c r="C60" i="7"/>
  <c r="D60" i="7" s="1"/>
  <c r="B60" i="7"/>
  <c r="E59" i="7"/>
  <c r="C59" i="7"/>
  <c r="D59" i="7" s="1"/>
  <c r="B59" i="7"/>
  <c r="E58" i="7"/>
  <c r="C58" i="7"/>
  <c r="D58" i="7" s="1"/>
  <c r="B58" i="7"/>
  <c r="B54" i="7"/>
  <c r="B53" i="7"/>
  <c r="B52" i="7"/>
  <c r="B51" i="7"/>
  <c r="E60" i="6"/>
  <c r="C60" i="6"/>
  <c r="D60" i="6" s="1"/>
  <c r="B60" i="6"/>
  <c r="E59" i="6"/>
  <c r="C59" i="6"/>
  <c r="D59" i="6" s="1"/>
  <c r="B59" i="6"/>
  <c r="E58" i="6"/>
  <c r="C58" i="6"/>
  <c r="D58" i="6" s="1"/>
  <c r="B58" i="6"/>
  <c r="B54" i="6"/>
  <c r="B53" i="6"/>
  <c r="B52" i="6"/>
  <c r="B51" i="6"/>
  <c r="E60" i="5"/>
  <c r="V32" i="15" s="1"/>
  <c r="C60" i="5"/>
  <c r="D60" i="5" s="1"/>
  <c r="B60" i="5"/>
  <c r="E59" i="5"/>
  <c r="V31" i="15" s="1"/>
  <c r="C59" i="5"/>
  <c r="D59" i="5" s="1"/>
  <c r="B59" i="5"/>
  <c r="E58" i="5"/>
  <c r="V30" i="15" s="1"/>
  <c r="C58" i="5"/>
  <c r="B58" i="5"/>
  <c r="B53" i="5"/>
  <c r="D5" i="15" s="1"/>
  <c r="B52" i="5"/>
  <c r="B51" i="5"/>
  <c r="B5" i="15" s="1"/>
  <c r="E60" i="4"/>
  <c r="U32" i="15" s="1"/>
  <c r="C60" i="4"/>
  <c r="D60" i="4" s="1"/>
  <c r="B60" i="4"/>
  <c r="E59" i="4"/>
  <c r="U31" i="15" s="1"/>
  <c r="C59" i="4"/>
  <c r="B59" i="4"/>
  <c r="E58" i="4"/>
  <c r="C58" i="4"/>
  <c r="B58" i="4"/>
  <c r="B53" i="4"/>
  <c r="D4" i="15" s="1"/>
  <c r="B52" i="4"/>
  <c r="C4" i="15" s="1"/>
  <c r="B51" i="4"/>
  <c r="B4" i="15" s="1"/>
  <c r="E60" i="3"/>
  <c r="T32" i="15" s="1"/>
  <c r="C60" i="3"/>
  <c r="B60" i="3"/>
  <c r="E59" i="3"/>
  <c r="C59" i="3"/>
  <c r="B59" i="3"/>
  <c r="E58" i="3"/>
  <c r="C58" i="3"/>
  <c r="D58" i="3" s="1"/>
  <c r="B58" i="3"/>
  <c r="B53" i="3"/>
  <c r="B52" i="3"/>
  <c r="B51" i="3"/>
  <c r="B3" i="15" s="1"/>
  <c r="E60" i="2"/>
  <c r="C60" i="2"/>
  <c r="B60" i="2"/>
  <c r="E59" i="2"/>
  <c r="S31" i="15" s="1"/>
  <c r="C59" i="2"/>
  <c r="B59" i="2"/>
  <c r="E58" i="2"/>
  <c r="S30" i="15" s="1"/>
  <c r="C58" i="2"/>
  <c r="B58" i="2"/>
  <c r="B53" i="2"/>
  <c r="D2" i="15" s="1"/>
  <c r="B52" i="2"/>
  <c r="B54" i="2" s="1"/>
  <c r="B51" i="2"/>
  <c r="B2" i="15" s="1"/>
  <c r="E60" i="12"/>
  <c r="C60" i="12"/>
  <c r="D60" i="12" s="1"/>
  <c r="B60" i="12"/>
  <c r="E59" i="12"/>
  <c r="C59" i="12"/>
  <c r="D59" i="12" s="1"/>
  <c r="B59" i="12"/>
  <c r="E58" i="12"/>
  <c r="C58" i="12"/>
  <c r="D58" i="12" s="1"/>
  <c r="B58" i="12"/>
  <c r="B53" i="12"/>
  <c r="B52" i="12"/>
  <c r="B54" i="12" s="1"/>
  <c r="B51" i="12"/>
  <c r="R5" i="15" l="1"/>
  <c r="T5" i="15" s="1"/>
  <c r="S3" i="15"/>
  <c r="Q3" i="15"/>
  <c r="Q4" i="15"/>
  <c r="R3" i="15"/>
  <c r="T3" i="15"/>
  <c r="Q3" i="16"/>
  <c r="Q47" i="16"/>
  <c r="Q37" i="16"/>
  <c r="B54" i="5"/>
  <c r="D58" i="5"/>
  <c r="P16" i="16"/>
  <c r="Q6" i="16"/>
  <c r="Q15" i="16"/>
  <c r="Q5" i="16"/>
  <c r="Q29" i="16"/>
  <c r="Q28" i="16"/>
  <c r="AE34" i="15"/>
  <c r="D59" i="3"/>
  <c r="Q26" i="16"/>
  <c r="Q4" i="16"/>
  <c r="Q11" i="16"/>
  <c r="Q25" i="16"/>
  <c r="B54" i="3"/>
  <c r="Q32" i="16"/>
  <c r="Q22" i="16"/>
  <c r="Q31" i="16"/>
  <c r="AE30" i="15"/>
  <c r="Q41" i="16"/>
  <c r="Q30" i="16"/>
  <c r="Q40" i="16"/>
  <c r="D60" i="3"/>
  <c r="C3" i="15"/>
  <c r="E3" i="15" s="1"/>
  <c r="Q14" i="16"/>
  <c r="Q49" i="16"/>
  <c r="Q39" i="16"/>
  <c r="B17" i="15"/>
  <c r="B19" i="15"/>
  <c r="B18" i="15"/>
  <c r="D19" i="15"/>
  <c r="D18" i="15"/>
  <c r="D17" i="15"/>
  <c r="AE31" i="15"/>
  <c r="Q33" i="16"/>
  <c r="Q23" i="16"/>
  <c r="AE32" i="15"/>
  <c r="AE33" i="15"/>
  <c r="Q20" i="16"/>
  <c r="S2" i="15"/>
  <c r="Q19" i="16"/>
  <c r="Q8" i="16"/>
  <c r="D58" i="2"/>
  <c r="D59" i="2"/>
  <c r="C2" i="15"/>
  <c r="Q16" i="16"/>
  <c r="O9" i="16"/>
  <c r="P17" i="16"/>
  <c r="O49" i="16"/>
  <c r="P7" i="16"/>
  <c r="O39" i="16"/>
  <c r="O29" i="16"/>
  <c r="P39" i="16"/>
  <c r="O28" i="16"/>
  <c r="P35" i="16"/>
  <c r="O8" i="16"/>
  <c r="P15" i="16"/>
  <c r="O16" i="16"/>
  <c r="P28" i="16"/>
  <c r="P13" i="16"/>
  <c r="P27" i="16"/>
  <c r="P44" i="16"/>
  <c r="P45" i="16"/>
  <c r="O12" i="16"/>
  <c r="P47" i="16"/>
  <c r="P37" i="16"/>
  <c r="P26" i="16"/>
  <c r="O20" i="16"/>
  <c r="P43" i="16"/>
  <c r="P31" i="16"/>
  <c r="P33" i="16"/>
  <c r="P23" i="16"/>
  <c r="P6" i="16"/>
  <c r="P5" i="16"/>
  <c r="O6" i="16"/>
  <c r="P49" i="16"/>
  <c r="P38" i="16"/>
  <c r="O21" i="16"/>
  <c r="O7" i="16"/>
  <c r="P22" i="16"/>
  <c r="P24" i="16"/>
  <c r="P4" i="16"/>
  <c r="O11" i="16"/>
  <c r="P46" i="16"/>
  <c r="P36" i="16"/>
  <c r="P25" i="16"/>
  <c r="O19" i="16"/>
  <c r="P42" i="16"/>
  <c r="P30" i="16"/>
  <c r="P40" i="16"/>
  <c r="P14" i="16"/>
  <c r="P3" i="16"/>
  <c r="P48" i="16"/>
  <c r="O14" i="16"/>
  <c r="O17" i="16"/>
  <c r="P32" i="16"/>
  <c r="P21" i="16"/>
  <c r="O10" i="16"/>
  <c r="O45" i="16"/>
  <c r="O35" i="16"/>
  <c r="O24" i="16"/>
  <c r="P41" i="16"/>
  <c r="D67" i="15"/>
  <c r="O3" i="16"/>
  <c r="O44" i="16"/>
  <c r="O43" i="16"/>
  <c r="O32" i="16"/>
  <c r="O22" i="16"/>
  <c r="P12" i="16"/>
  <c r="O42" i="16"/>
  <c r="O31" i="16"/>
  <c r="O15" i="16"/>
  <c r="O5" i="16"/>
  <c r="O41" i="16"/>
  <c r="O30" i="16"/>
  <c r="P10" i="16"/>
  <c r="O40" i="16"/>
  <c r="P9" i="16"/>
  <c r="O13" i="16"/>
  <c r="P29" i="16"/>
  <c r="O48" i="16"/>
  <c r="O38" i="16"/>
  <c r="O27" i="16"/>
  <c r="P11" i="16"/>
  <c r="O4" i="16"/>
  <c r="O47" i="16"/>
  <c r="O37" i="16"/>
  <c r="O26" i="16"/>
  <c r="O46" i="16"/>
  <c r="O36" i="16"/>
  <c r="O25" i="16"/>
  <c r="E4" i="15"/>
  <c r="B16" i="15"/>
  <c r="Q2" i="15"/>
  <c r="B54" i="4"/>
  <c r="D16" i="15"/>
  <c r="D58" i="4"/>
  <c r="D59" i="4"/>
  <c r="E9" i="15"/>
  <c r="R4" i="15"/>
  <c r="T4" i="15" s="1"/>
  <c r="S4" i="15"/>
  <c r="D60" i="2"/>
  <c r="C16" i="15" l="1"/>
  <c r="C19" i="15"/>
  <c r="C18" i="15"/>
  <c r="C17" i="15"/>
  <c r="E2" i="15"/>
  <c r="R2" i="15"/>
  <c r="T2" i="15" s="1"/>
</calcChain>
</file>

<file path=xl/sharedStrings.xml><?xml version="1.0" encoding="utf-8"?>
<sst xmlns="http://schemas.openxmlformats.org/spreadsheetml/2006/main" count="4642" uniqueCount="987">
  <si>
    <t>Firm:</t>
  </si>
  <si>
    <t>Sub-sector:</t>
  </si>
  <si>
    <t>PAGE OFFSET 1</t>
  </si>
  <si>
    <t>Experian plc</t>
  </si>
  <si>
    <t>Financial Infrastructure</t>
  </si>
  <si>
    <t>Pillar</t>
  </si>
  <si>
    <t>ID</t>
  </si>
  <si>
    <t>Dimension</t>
  </si>
  <si>
    <t>Indicator</t>
  </si>
  <si>
    <t>Score 1–5</t>
  </si>
  <si>
    <t>Evidence summary</t>
  </si>
  <si>
    <t>Page ref</t>
  </si>
  <si>
    <t>Verification status</t>
  </si>
  <si>
    <t>AI</t>
  </si>
  <si>
    <t>AIG-01</t>
  </si>
  <si>
    <t>Leadership &amp; Accountability</t>
  </si>
  <si>
    <t>Board / top-management-approved responsible-AI policy or principles.</t>
  </si>
  <si>
    <t>A global AI Policy provides a framework for safe, responsible and scalable AI adoption, aligned to NIST's Trustworthy AI guidelines.</t>
  </si>
  <si>
    <t>printed p.25, 32, 52</t>
  </si>
  <si>
    <t>Global AI Policy aligned to NIST Trustworthy AI.</t>
  </si>
  <si>
    <t>Verified; pages already printed (no shift)</t>
  </si>
  <si>
    <t>AIG-02</t>
  </si>
  <si>
    <t>Board / committee oversight of AI with a named senior owner (e.g. CAIO or accountable executive).</t>
  </si>
  <si>
    <t>A Global AI Risk Council monitors AI developments and risks and reports to senior leadership, the Executive Risk Management Committee and the Board/Audit Committee; responsible-AI governance is embedded across product and operations.</t>
  </si>
  <si>
    <t>printed p.27, 52</t>
  </si>
  <si>
    <t>Global AI Risk Council reports to Board/Audit.</t>
  </si>
  <si>
    <t>AIG-03</t>
  </si>
  <si>
    <t>Defined AI roles, responsibilities and competence / resourcing.</t>
  </si>
  <si>
    <t>AI fluency underpins the people strategy and responsible-AI governance roles are embedded across the business.</t>
  </si>
  <si>
    <t>printed p.32, 52</t>
  </si>
  <si>
    <t>AIG-04</t>
  </si>
  <si>
    <t>Risk Management</t>
  </si>
  <si>
    <t>Documented AI risk assessment process and stated AI risk appetite / tolerance.</t>
  </si>
  <si>
    <t>The Global AI Risk Council monitors AI risks; higher-risk AI uses require human oversight and harmful/discriminatory uses are prohibited.</t>
  </si>
  <si>
    <t>printed p.52</t>
  </si>
  <si>
    <t>AIG-05</t>
  </si>
  <si>
    <t>AI/ML brought within the firm's model risk management framework.</t>
  </si>
  <si>
    <t>AI adoption is governed via the AI Policy and AI Risk Council; the firm markets model-risk tooling, but its own AI governance is framed through responsible-AI rather than a classic model-risk framework.</t>
  </si>
  <si>
    <t>printed p.25, 52</t>
  </si>
  <si>
    <t>AIG-06</t>
  </si>
  <si>
    <t>AI system / model inventory maintained.</t>
  </si>
  <si>
    <t>An AI/model inventory for the firm's own use is not explicitly disclosed.</t>
  </si>
  <si>
    <t>—</t>
  </si>
  <si>
    <t>AIG-07</t>
  </si>
  <si>
    <t>Lifecycle &amp; Data</t>
  </si>
  <si>
    <t>Responsible-AI lifecycle controls (development → validation/V&amp;V → operation).</t>
  </si>
  <si>
    <t>Responsible-AI considerations are embedded at each stage from procurement and design to development and use, with human oversight for higher-risk uses.</t>
  </si>
  <si>
    <t>AIG-08</t>
  </si>
  <si>
    <t>Data governance for AI (data quality, provenance, lineage).</t>
  </si>
  <si>
    <t>Five Global Data Principles (Security, Integrity, Fairness, Transparency, Inclusion) govern data, and AI is used in line with these principles.</t>
  </si>
  <si>
    <t>printed p.50, 52</t>
  </si>
  <si>
    <t>AIG-09</t>
  </si>
  <si>
    <t>AI impact assessment on customers / individuals.</t>
  </si>
  <si>
    <t>Higher-risk AI uses require human oversight, discriminatory uses are prohibited, and consumer-impact/transparency mechanisms (e.g. adverse-action notices) operate.</t>
  </si>
  <si>
    <t>printed p.52, 78</t>
  </si>
  <si>
    <t>AIG-10</t>
  </si>
  <si>
    <t>Transparency &amp; Trustworthiness</t>
  </si>
  <si>
    <t>Fairness and harmful-bias management.</t>
  </si>
  <si>
    <t>The Fairness Data Principle and prohibition of discriminatory AI uses operate; AI bias amplifying inequalities is acknowledged as a risk.</t>
  </si>
  <si>
    <t>printed p.50, 78</t>
  </si>
  <si>
    <t>AIG-11</t>
  </si>
  <si>
    <t>Transparency and explainability to users / affected parties.</t>
  </si>
  <si>
    <t>The Transparency Data Principle and NIST trustworthy-AI alignment support transparency; consumers can access and correct data used in decisions.</t>
  </si>
  <si>
    <t>AIG-12</t>
  </si>
  <si>
    <t>Third-party / vendor AI risk governance.</t>
  </si>
  <si>
    <t>Responsible-AI scope includes procurement of AI, and third-party risk management operates.</t>
  </si>
  <si>
    <t>printed p.52, 54</t>
  </si>
  <si>
    <t>AIG-13</t>
  </si>
  <si>
    <t>Assurance &amp; Improvement</t>
  </si>
  <si>
    <t>Monitoring and measurement of AI performance and controls.</t>
  </si>
  <si>
    <t>The Global AI Risk Council monitors evolving AI developments and risks with associated controls.</t>
  </si>
  <si>
    <t>AIG-14</t>
  </si>
  <si>
    <t>AI testing, incident management and escalation.</t>
  </si>
  <si>
    <t>Controls protect individuals and data and human oversight applies; an AI-specific testing/incident process is not separately disclosed.</t>
  </si>
  <si>
    <t>AIG-15</t>
  </si>
  <si>
    <t>Independent assurance / audit / management review of AI governance.</t>
  </si>
  <si>
    <t>The AI Risk Council reports to the Audit Committee and Global Internal Audit provides assurance.</t>
  </si>
  <si>
    <t>printed p.52, 105</t>
  </si>
  <si>
    <t>CYBER</t>
  </si>
  <si>
    <t>CYG-01</t>
  </si>
  <si>
    <t>Board-approved cybersecurity / information-security policy.</t>
  </si>
  <si>
    <t>The Global Security Office establishes and governs global security requirements aligned to industry standards, with ISO 27001 certification of key systems.</t>
  </si>
  <si>
    <t>printed p.50</t>
  </si>
  <si>
    <t>CYG-02</t>
  </si>
  <si>
    <t>Board oversight of cyber risk with a named senior owner (CISO).</t>
  </si>
  <si>
    <t>The Global CISO has overall responsibility for global security strategy; a Security and Continuity Steering Committee oversees the threat environment.</t>
  </si>
  <si>
    <t>CYG-03</t>
  </si>
  <si>
    <t>Cyber risk embedded in enterprise risk-management strategy.</t>
  </si>
  <si>
    <t>Security sits within the Three Lines of Defence model and the operational-risk taxonomy (technology, information security).</t>
  </si>
  <si>
    <t>printed p.50, 70, 71</t>
  </si>
  <si>
    <t>CYG-04</t>
  </si>
  <si>
    <t>Documented cyber risk assessment and stated risk appetite.</t>
  </si>
  <si>
    <t>Periodic risk assessments operate and data loss/misuse is a principal risk; cyber-attack exposure is assessed.</t>
  </si>
  <si>
    <t>printed p.50, 73</t>
  </si>
  <si>
    <t>CYG-05</t>
  </si>
  <si>
    <t>Asset inventory / asset management.</t>
  </si>
  <si>
    <t>An explicit asset inventory/asset-management capability is not disclosed.</t>
  </si>
  <si>
    <t>CYG-06</t>
  </si>
  <si>
    <t>Supply-chain / third-party cyber risk governance.</t>
  </si>
  <si>
    <t>Third-party risk management operates and partner/supplier cyber exposure is assessed.</t>
  </si>
  <si>
    <t>printed p.54, 73</t>
  </si>
  <si>
    <t>CYG-07</t>
  </si>
  <si>
    <t>Protection &amp; Resilience</t>
  </si>
  <si>
    <t>Access control and identity management.</t>
  </si>
  <si>
    <t>A three-tier security approach prevents, detects and mitigates threats including unauthorised access; detailed identity/access-management is not separately disclosed.</t>
  </si>
  <si>
    <t>CYG-08</t>
  </si>
  <si>
    <t>Data security (confidentiality, integrity, availability).</t>
  </si>
  <si>
    <t>Data security (a Global Data Principle) and a three-tier prevent/detect/mitigate approach protect confidentiality, integrity and availability.</t>
  </si>
  <si>
    <t>CYG-09</t>
  </si>
  <si>
    <t>Operational resilience / ICT continuity.</t>
  </si>
  <si>
    <t>An enterprise operational-resilience approach focuses on predictable recovery of critical services, with major-incident management and multi-region cloud resilience.</t>
  </si>
  <si>
    <t>printed p.74</t>
  </si>
  <si>
    <t>CYG-10</t>
  </si>
  <si>
    <t>Detection &amp; Response</t>
  </si>
  <si>
    <t>Continuous monitoring / threat detection.</t>
  </si>
  <si>
    <t>A three-tier approach detects threats and globally located teams provide continuous coverage with threat detection.</t>
  </si>
  <si>
    <t>CYG-11</t>
  </si>
  <si>
    <t>Incident response and management.</t>
  </si>
  <si>
    <t>An incident-response team follows defined procedures with in-house forensics and external experts and severity-based escalation; major-incident management is maturing.</t>
  </si>
  <si>
    <t>printed p.50, 74</t>
  </si>
  <si>
    <t>CYG-12</t>
  </si>
  <si>
    <t>Threat-led penetration / resilience testing.</t>
  </si>
  <si>
    <t>Operations are subject to external cybersecurity audits annually and ISO 27001/PCI certifications; threat-led penetration testing is not separately named.</t>
  </si>
  <si>
    <t>CYG-13</t>
  </si>
  <si>
    <t>Security monitoring metrics and board reporting.</t>
  </si>
  <si>
    <t>The Security and Continuity Steering Committee oversees security and reporting reaches the Audit Committee.</t>
  </si>
  <si>
    <t>CYG-14</t>
  </si>
  <si>
    <t>Security awareness and training.</t>
  </si>
  <si>
    <t>Security is a mandatory training topic and a security culture is emphasised.</t>
  </si>
  <si>
    <t>printed p.50, 54</t>
  </si>
  <si>
    <t>CYG-15</t>
  </si>
  <si>
    <t>Independent assurance / audit / management review.</t>
  </si>
  <si>
    <t>External cybersecurity audits annually, ISO 27001/PCI certifications and Global Internal Audit (third line) provide independent assurance.</t>
  </si>
  <si>
    <t>printed p.50, 103</t>
  </si>
  <si>
    <t>ISO 27001 certified + annual external audits.</t>
  </si>
  <si>
    <t>INT</t>
  </si>
  <si>
    <t>INT-01</t>
  </si>
  <si>
    <t>A single committee / board body owns BOTH AI and cyber.</t>
  </si>
  <si>
    <t>AI (Global AI Risk Council) and security (GSO/SCSC) converge at the Executive Risk Management Committee/enterprise risk oversight rather than one body owning both.</t>
  </si>
  <si>
    <t>printed p.27, 50, 52</t>
  </si>
  <si>
    <t>INT-02</t>
  </si>
  <si>
    <t>CISO remit explicitly includes AI / joint accountability.</t>
  </si>
  <si>
    <t>The CISO leads security and the AI Risk Council governs AI; the CISO remit is not stated to include AI governance.</t>
  </si>
  <si>
    <t>INT-03</t>
  </si>
  <si>
    <t>Board reporting presents AI and cyber risk together.</t>
  </si>
  <si>
    <t>Both the AI Risk Council and security report to the Board/Audit Committee.</t>
  </si>
  <si>
    <t>INT-04</t>
  </si>
  <si>
    <t>AI risk recorded in the enterprise / cyber risk register.</t>
  </si>
  <si>
    <t>AI risk is monitored by the AI Risk Council within enterprise risk oversight.</t>
  </si>
  <si>
    <t>INT-05</t>
  </si>
  <si>
    <t>Shared risk taxonomy across AI and cyber.</t>
  </si>
  <si>
    <t>AI governance is integrated with global risk oversight across the risk taxonomy.</t>
  </si>
  <si>
    <t>printed p.27, 71</t>
  </si>
  <si>
    <t>INT-06</t>
  </si>
  <si>
    <t>AI sits within BOTH the model-risk and cyber-risk frameworks.</t>
  </si>
  <si>
    <t>AI adoption is governed for responsible, secure and compliant use, linking AI governance and security.</t>
  </si>
  <si>
    <t>INT-07</t>
  </si>
  <si>
    <t>Cyber controls embedded in the AI lifecycle.</t>
  </si>
  <si>
    <t>Secure AI adoption and responsible-AI controls from procurement to use embed security in the AI lifecycle.</t>
  </si>
  <si>
    <t>INT-08</t>
  </si>
  <si>
    <t>AI-specific threats addressed (adversarial, poisoning, model exfiltration).</t>
  </si>
  <si>
    <t>AI bias/consumer-impact risks are acknowledged and secure AI adoption is required; specific adversarial/poisoning/exfiltration threats are not named.</t>
  </si>
  <si>
    <t>INT-09</t>
  </si>
  <si>
    <t>Shared data governance across AI and security.</t>
  </si>
  <si>
    <t>The Global Data Principles govern both data security and AI use, providing shared data governance across the two domains.</t>
  </si>
  <si>
    <t>Global Data Principles span data + AI.</t>
  </si>
  <si>
    <t>INT-10</t>
  </si>
  <si>
    <t>AI incidents run through the cyber incident-response process.</t>
  </si>
  <si>
    <t>An incident-response team operates enterprise-wide; AI-specific incidents being routed through it are not disclosed.</t>
  </si>
  <si>
    <t>INT-11</t>
  </si>
  <si>
    <t>AI used within cyber operations (detection / SOC).</t>
  </si>
  <si>
    <t>AI used within cyber detection/SOC is not disclosed.</t>
  </si>
  <si>
    <t>INT-12</t>
  </si>
  <si>
    <t>Unified third-party assessment covering AI and ICT.</t>
  </si>
  <si>
    <t>Third-party risk management covers ICT and AI procurement; a fully unified AI+ICT assessment is not separately disclosed.</t>
  </si>
  <si>
    <t>INT-13</t>
  </si>
  <si>
    <t>Joint assurance / audit covering both domains.</t>
  </si>
  <si>
    <t>The Audit Committee receives both AI Risk Council and security reporting and Internal Audit/external audits span both.</t>
  </si>
  <si>
    <t>printed p.50, 52, 105</t>
  </si>
  <si>
    <t>INT-14</t>
  </si>
  <si>
    <t>Joint regulatory preparedness (AI Act + DORA + operational resilience).</t>
  </si>
  <si>
    <t>NIST AI alignment, ISO 27001 and operational resilience are addressed; DORA and the EU AI Act are not named together as joint preparedness.</t>
  </si>
  <si>
    <t>printed p.32, 50</t>
  </si>
  <si>
    <t>INT-15</t>
  </si>
  <si>
    <t>Board links AI strategy to cyber resilience.</t>
  </si>
  <si>
    <t>AI-driven growth strategy and security/resilience are both Board priorities and AI governance is aligned with global risk oversight.</t>
  </si>
  <si>
    <t>printed p.9, 27</t>
  </si>
  <si>
    <t>SUMMARY</t>
  </si>
  <si>
    <t>AI governance — mean maturity</t>
  </si>
  <si>
    <t>Cyber governance — mean maturity</t>
  </si>
  <si>
    <t>Integration — mean linkage</t>
  </si>
  <si>
    <t>AI–cyber maturity gap (cyber − AI)</t>
  </si>
  <si>
    <t>Shared-dimension comparison (comparable axes only — dims 1, 2, 5)</t>
  </si>
  <si>
    <t>AI mean</t>
  </si>
  <si>
    <t>Cyber mean</t>
  </si>
  <si>
    <t>Gap</t>
  </si>
  <si>
    <t>Integration mean</t>
  </si>
  <si>
    <t>1 Leadership &amp; Accountability</t>
  </si>
  <si>
    <t>2 Risk Management</t>
  </si>
  <si>
    <t>5 Assurance &amp; Improvement</t>
  </si>
  <si>
    <t>PAGE OFFSET -1</t>
  </si>
  <si>
    <t>HSBC Holdings plc</t>
  </si>
  <si>
    <t>Banking</t>
  </si>
  <si>
    <t>HSBC publishes Principles for the Ethical Use of Data and AI and maintains a group-wide AI oversight, governance, lifecycle-management and risk framework.</t>
  </si>
  <si>
    <t>printed p.30, 59</t>
  </si>
  <si>
    <t>Verified against source</t>
  </si>
  <si>
    <t>A group-wide AI oversight and governance framework operates and the Group Technology &amp; Operations Committee reviews and challenges GenAI strategy; no single named AI executive (e.g. CAIO) is disclosed.</t>
  </si>
  <si>
    <t>printed p.30, 209, 215</t>
  </si>
  <si>
    <t>Confirm whether GTO is a board or executive committee.</t>
  </si>
  <si>
    <t>AI Academy provides AI literacy, responsible-AI and AI-ethics training with digital badging and an AI Ambassador mentorship programme; over 100 GenAI solutions reported in use.</t>
  </si>
  <si>
    <t>printed p.8, 11, 56</t>
  </si>
  <si>
    <t>HSBC reports developing a governance framework to manage risks from AI techniques (machine learning, agentic AI); AI/ML models are managed within model risk appetite. Framework described as in development.</t>
  </si>
  <si>
    <t>printed p.104, 181</t>
  </si>
  <si>
    <t>AI/ML models sit within the Model Risk Management framework, which HSBC enhanced to meet the PRA's SS1/23; an AI-specific governance overlay is still being developed.</t>
  </si>
  <si>
    <t>Strongest AI-governance indicator; AI-specific framework still developing.</t>
  </si>
  <si>
    <t>Models are managed across the model landscape via MRM with a library of model risk controls and a model risk committee structure; no AI-specific inventory is named.</t>
  </si>
  <si>
    <t>printed p.104, 182</t>
  </si>
  <si>
    <t>The MRM lifecycle (development, independent validation, monitoring) applies to models including AI/ML; GenAI governance and approval processes are being streamlined. AI-specific lifecycle controls developing.</t>
  </si>
  <si>
    <t>printed p.104, 215</t>
  </si>
  <si>
    <t>A Group-wide data risk policy (reviewed annually) governs data and privacy; a Group data strategy and operating model is under development; ML is used in data infrastructure. AI-specific data governance not separately detailed.</t>
  </si>
  <si>
    <t>printed p.64, 215</t>
  </si>
  <si>
    <t>Potential social impacts of AI on communities are noted in the human-rights review; no formal AI impact assessment on customers is disclosed.</t>
  </si>
  <si>
    <t>printed p.59</t>
  </si>
  <si>
    <t>AI principles cover the ethical use of data and AI; no explicit AI fairness or bias testing, metrics or remediation is disclosed.</t>
  </si>
  <si>
    <t>Transparency to customers on personal-data processing is disclosed and AI principles reference privacy; AI explainability is not explicitly addressed.</t>
  </si>
  <si>
    <t>printed p.59, 64</t>
  </si>
  <si>
    <t>A third-party security risk management process covers cyber/ICT suppliers; AI-specific vendor governance is not separately disclosed.</t>
  </si>
  <si>
    <t>printed p.64</t>
  </si>
  <si>
    <t>Model monitoring, model risk appetite metrics and independent validation within MRM cover AI/ML models; model risk is reported to the Group Risk Committee.</t>
  </si>
  <si>
    <t>printed p.106, 182</t>
  </si>
  <si>
    <t>GenAI governance/approval and MRM controls are referenced; an AI-specific testing and incident-escalation process is not explicitly disclosed.</t>
  </si>
  <si>
    <t>printed p.215</t>
  </si>
  <si>
    <t>MRM independent validation (second line) and Global Internal Audit (third line) assure model risk including AI/ML; AI-specific independent assurance is not separately framed.</t>
  </si>
  <si>
    <t>printed p.99, 182</t>
  </si>
  <si>
    <t>Cybersecurity policy and governance operate within a three-lines-of-defence model aligned to the enterprise risk management framework; a Group-wide data risk policy is reviewed annually.</t>
  </si>
  <si>
    <t>Cyber risk is led and coordinated by a Global Chief Information Security Officer (CISO); the Group Technology &amp; Operations Committee receives CISO/GCIO updates on the cybersecurity programme.</t>
  </si>
  <si>
    <t>Cyber and resilience risk are managed via the three-lines model aligned to the ERM framework; risk appetite and escalations are reported to the Group Risk Management Meeting and Group Risk Committee.</t>
  </si>
  <si>
    <t>printed p.99, 180</t>
  </si>
  <si>
    <t>Technology and cybersecurity risk is a named top/emerging risk managed within risk appetite; resilience risk is measured against agreed appetite.</t>
  </si>
  <si>
    <t>printed p.31, 101, 106</t>
  </si>
  <si>
    <t>An extensive technology landscape is referenced, but an explicit asset inventory / asset management capability is not disclosed.</t>
  </si>
  <si>
    <t>printed p.64, 101</t>
  </si>
  <si>
    <t>Not disclosed as such — low-yield in annual reports.</t>
  </si>
  <si>
    <t>A third-party security risk management process assesses suppliers against HSBC's cybersecurity standards; third-party cyber exposure is tracked and reported to the Group Technology &amp; Operations Committee.</t>
  </si>
  <si>
    <t>Defence-in-depth controls reduce unauthorised access and exploitation of vulnerabilities; explicit identity- and access-management detail is not disclosed.</t>
  </si>
  <si>
    <t>Defence-in-depth security layers, data-leakage controls, and routinely tested data backup and disaster recovery protect confidentiality, integrity and availability.</t>
  </si>
  <si>
    <t>Operational resilience is operated per the Risk Management Framework around Important Business Services; a resilience-risk target operating model, incident-management plans and backup/DR testing are described.</t>
  </si>
  <si>
    <t>printed p.64, 180</t>
  </si>
  <si>
    <t>Round-the-clock security operations support detect/respond; a dedicated cyber intelligence and threat-analysis team collects internal and external threat information.</t>
  </si>
  <si>
    <t>Procedures cover cyber incident identification, investigation, mitigation and reporting; incident-management plans, post-incident reviews and playbook testing are described.</t>
  </si>
  <si>
    <t>printed p.64, 180, 215</t>
  </si>
  <si>
    <t>External independent third parties are engaged to support penetration testing and threat-led penetration testing.</t>
  </si>
  <si>
    <t>The Group Technology &amp; Operations Committee receives updates and metrics on all key components of the cybersecurity programme, including incidents and third-party exposure.</t>
  </si>
  <si>
    <t>Cyber training and awareness programmes operate, alongside mandatory data privacy and security training for employees.</t>
  </si>
  <si>
    <t>Global Internal Audit (third line) provides independent assurance over risk management including cyber; results are reported to the Group Audit Committee and Group Risk Committee.</t>
  </si>
  <si>
    <t>printed p.99, 206</t>
  </si>
  <si>
    <t>The Group Technology &amp; Operations Committee oversees GenAI strategy, cybersecurity and data within one committee — a shared governance body covering both domains.</t>
  </si>
  <si>
    <t>Keystone integration evidence (single committee covers AI + cyber).</t>
  </si>
  <si>
    <t>The CISO leads cyber and the cyber function addresses AI as an emerging technology risk; AI governance itself sits within model risk rather than the CISO remit.</t>
  </si>
  <si>
    <t>printed p.64, 181</t>
  </si>
  <si>
    <t>GenAI strategy and cybersecurity are presented as adjacent areas of focus within the same Group Technology &amp; Operations Committee report.</t>
  </si>
  <si>
    <t>AI/model risk is a named top/emerging risk within the enterprise risk framework and is reported to the Group Risk Committee; not framed as a single AI-in-cyber-register entry.</t>
  </si>
  <si>
    <t>The resilience-risk taxonomy covers technology/cyber and data; model risk is a separate taxonomy; no shared AI-cyber taxonomy is disclosed.</t>
  </si>
  <si>
    <t>printed p.180, 182</t>
  </si>
  <si>
    <t>AI/ML is firmly within model risk (MRM/SS1/23) and the cybersecurity function separately addresses AI as an emerging technology risk — AI features in both frameworks.</t>
  </si>
  <si>
    <t>printed p.64, 104, 181</t>
  </si>
  <si>
    <t>Cybersecurity notes preparedness for emerging technology risks such as AI; cyber controls embedded within the AI development lifecycle are not explicitly disclosed.</t>
  </si>
  <si>
    <t>AI is named as an emerging technology risk within cybersecurity preparedness; AI-specific threats (adversarial, data poisoning, model exfiltration) are not specifically disclosed.</t>
  </si>
  <si>
    <t>A Group-wide data risk policy spans data, privacy and security across businesses; AI uses the same data governance, but AI-security data integration is not separately framed.</t>
  </si>
  <si>
    <t>AI-specific incidents being routed through the cyber incident-response process are not disclosed.</t>
  </si>
  <si>
    <t>Not disclosed.</t>
  </si>
  <si>
    <t>Use of AI within cyber detection / security operations is not disclosed (AI/GenAI use is described for efficiency and financial-crime detection, not the cyber SOC).</t>
  </si>
  <si>
    <t>The third-party security risk process covers ICT suppliers and third-party cyber exposure is reported; a unified AI+ICT third-party assessment is not separately disclosed.</t>
  </si>
  <si>
    <t>Global Internal Audit and MRM independent validation span risk domains including model risk and cyber; a jointly framed AI-cyber assurance programme is not explicitly disclosed.</t>
  </si>
  <si>
    <t>Operational resilience is mature and the GenAI regulatory landscape is monitored; DORA and the EU AI Act are not named, and joint cross-regulatory preparedness is not framed together.</t>
  </si>
  <si>
    <t>printed p.180, 215</t>
  </si>
  <si>
    <t>DORA / EU AI Act not named in the report.</t>
  </si>
  <si>
    <t>The Group Technology &amp; Operations Committee considers AI strategy and cyber resilience together; an explicit board-level link between AI strategy and cyber resilience is not articulated.</t>
  </si>
  <si>
    <t>Barclays PLC</t>
  </si>
  <si>
    <t>Barclays operates an AI Policy and a new AI Standard with Ethical AI Principles for enterprise-wide, ethical and lawful AI use; the Board reviews the approach to AI governance and the related policies/standards.</t>
  </si>
  <si>
    <t>printed p.252, 341, 125</t>
  </si>
  <si>
    <t>The Board has close oversight of AI governance, policies and use cases and deepened its AI expertise through external engagement; the Board Risk Committee considers AI-related threats. No named Chief AI Officer disclosed.</t>
  </si>
  <si>
    <t>printed p.125, 142</t>
  </si>
  <si>
    <t>Board and ExCo deepened AI/technology understanding (incl. external/academic engagement); additional model roles and responsibilities established; AI/ML initiatives launched. AI-specific staff training less detailed.</t>
  </si>
  <si>
    <t>printed p.125, 182, 341</t>
  </si>
  <si>
    <t>The AI Policy defines management and oversight of AI risks; AI risks and opportunities are considered within model risk; an associated AI governance framework is being designed.</t>
  </si>
  <si>
    <t>printed p.142, 252, 341</t>
  </si>
  <si>
    <t>AI validation (including GenAI) and an AI Standard sit within the model risk framework, which Barclays is enhancing under a PRA Supervisory Statement 1/23 remediation programme.</t>
  </si>
  <si>
    <t>printed p.142, 341</t>
  </si>
  <si>
    <t>Strongest AI indicator: AI Standard within MRM; SS1/23 remediation.</t>
  </si>
  <si>
    <t>Model risk enhancements include additional roles/responsibilities and a defined monitoring framework; an AI/model inventory is not explicitly named.</t>
  </si>
  <si>
    <t>printed p.341</t>
  </si>
  <si>
    <t>Approach to AI validation (incl. GenAI) and the design of an associated governance framework; model development, validation and monitoring practices enhanced.</t>
  </si>
  <si>
    <t>Data privacy sits within the refreshed Compliance Risk Taxonomy; data/technology risk themes outside the model risk framework are tracked for model impact. AI-specific data governance not separately detailed.</t>
  </si>
  <si>
    <t>The AI Policy targets ethical, lawful and appropriate AI use and Consumer Duty governs fair outcomes; a formal AI impact assessment on customers is not disclosed.</t>
  </si>
  <si>
    <t>printed p.252, 343</t>
  </si>
  <si>
    <t>Ethical AI Principles are defined and the risk of biased, harmful or discriminatory AI output is explicitly acknowledged; bias-testing metrics are not disclosed.</t>
  </si>
  <si>
    <t>printed p.231, 252</t>
  </si>
  <si>
    <t>Ethical AI Principles cover lawful and appropriate use; AI explainability is not explicitly addressed.</t>
  </si>
  <si>
    <t>printed p.252</t>
  </si>
  <si>
    <t>AI use by the Group and its third-party service providers is acknowledged as a risk; third-party risk management operates within cyber. AI-specific vendor governance not separately framed.</t>
  </si>
  <si>
    <t>printed p.231, 221</t>
  </si>
  <si>
    <t>Defined monitoring framework principles for models under SS1/23; the AI validation approach applies to AI/ML models.</t>
  </si>
  <si>
    <t>AI validation and model risk controls are referenced; an AI-specific testing and incident-escalation process is not explicitly disclosed.</t>
  </si>
  <si>
    <t>Internal Audit provides independent assurance over governance, risk and control including evolving risks; independent model validation operates. AI-specific assurance not separately framed.</t>
  </si>
  <si>
    <t>printed p.57, 341</t>
  </si>
  <si>
    <t>An Operational Resilience Framework underpinned by Policy and Standards is integrated with the Enterprise Risk Management Framework; a structured cybersecurity programme operates.</t>
  </si>
  <si>
    <t>printed p.220</t>
  </si>
  <si>
    <t>The Group CISO provides cybersecurity updates to the Board Risk Committee; a Chief Information Security Office runs a threat-led assurance model.</t>
  </si>
  <si>
    <t>printed p.221</t>
  </si>
  <si>
    <t>Three-lines-of-defence model; the Operational Resilience Framework is integrated with the ERMF; the Board Risk Committee oversees cyber within operational risk.</t>
  </si>
  <si>
    <t>printed p.54, 220, 221</t>
  </si>
  <si>
    <t>The Group operated within risk appetite limits; the CISO reports measurement of Barclays' cyber risk and control posture to the Board Risk Committee.</t>
  </si>
  <si>
    <t>printed p.54, 221</t>
  </si>
  <si>
    <t>Group-wide business services and interdependencies are mapped; an explicit asset inventory / asset-management capability is not disclosed.</t>
  </si>
  <si>
    <t>Third-party security management operates within the cyber programme with regular third-party assurance; DORA critical-CTP designation is noted.</t>
  </si>
  <si>
    <t>printed p.220, 221, 353</t>
  </si>
  <si>
    <t>Vulnerability management and controls over privileged access to systems are referenced; full identity/access-management detail is not disclosed.</t>
  </si>
  <si>
    <t>printed p.220, 221</t>
  </si>
  <si>
    <t>A dedicated data security function operates; recovery plans cover cyber and data-integrity disruptions; cyber posture and assurance are managed.</t>
  </si>
  <si>
    <t>The Operational Resilience Framework (Policy, Standards) is aligned to regulators and integrated with the ERMF; severe-but-plausible scenario recovery plans are tested regularly.</t>
  </si>
  <si>
    <t>printed p.219, 220</t>
  </si>
  <si>
    <t>24/7 Joint Operations Centres across three locations link security and incident-response staff; cyber-threat intelligence operations run.</t>
  </si>
  <si>
    <t>24/7 Joint Operations Centres (SOC).</t>
  </si>
  <si>
    <t>Incident-response managers operate within the JOCs; recovery and business-response plans exist; incident trends and response are reported to the Board Risk Committee.</t>
  </si>
  <si>
    <t>External security consultants conduct penetration tests and attack simulations; the CISO operates a threat-led assurance model.</t>
  </si>
  <si>
    <t>The Group CISO reports cyber risk/control posture, incident trends and metrics to the Board Risk Committee.</t>
  </si>
  <si>
    <t>Phishing simulations are conducted via third-party providers; broader security-awareness training is not separately detailed.</t>
  </si>
  <si>
    <t>Barclays Internal Audit provides independent assurance to the Board and ExCo; external consultants independently benchmark cybersecurity capabilities.</t>
  </si>
  <si>
    <t>printed p.57, 135, 221</t>
  </si>
  <si>
    <t>The Board Risk Committee oversees cybersecurity and considers AI-related threats; AI governance is also overseen at Board level. A single committee owning both is partial.</t>
  </si>
  <si>
    <t>printed p.142, 221</t>
  </si>
  <si>
    <t>The CISO leads cyber and AI external threats are considered within model risk; the CISO remit is not stated to include AI governance.</t>
  </si>
  <si>
    <t>The Board Risk Committee explicitly names cyber and AI-related threats together among non-financial risks.</t>
  </si>
  <si>
    <t>printed p.142</t>
  </si>
  <si>
    <t>BRC names cyber + AI threats together.</t>
  </si>
  <si>
    <t>AI (incl. generative/agentic) is a named material/emerging risk and AI sits within model risk in the enterprise risk framework; not a single AI-in-cyber-register entry.</t>
  </si>
  <si>
    <t>printed p.231, 341</t>
  </si>
  <si>
    <t>A refreshed Compliance Risk Taxonomy covers data privacy; AI and cyber are separate risk areas; no single shared AI-cyber taxonomy disclosed.</t>
  </si>
  <si>
    <t>AI is addressed within model risk (AI Standard/validation) and AI external threats are considered alongside cyber; AI features in both.</t>
  </si>
  <si>
    <t>An AI validation governance framework is being designed; cyber controls embedded within the AI development lifecycle are not explicitly disclosed.</t>
  </si>
  <si>
    <t>External threats presented by AI are explicitly considered within model risk; specific adversarial/poisoning/exfiltration threats are not named.</t>
  </si>
  <si>
    <t>printed p.142, 231</t>
  </si>
  <si>
    <t>Data privacy and data/technology risk themes span the risk framework; AI uses the same data governance, but AI-security data integration is not separately framed.</t>
  </si>
  <si>
    <t>Group incident response operates enterprise-wide; AI-specific incidents being routed through the cyber incident-response process are not disclosed.</t>
  </si>
  <si>
    <t>Use of AI within cyber detection/SOC is not disclosed (ML is described for fraud detection, a separate domain).</t>
  </si>
  <si>
    <t>printed p.210</t>
  </si>
  <si>
    <t>Third-party security management and DORA critical-CTP oversight operate; a unified AI+ICT third-party assessment is not separately disclosed.</t>
  </si>
  <si>
    <t>printed p.221, 353</t>
  </si>
  <si>
    <t>Internal Audit assures governance/risk/control including evolving risks and model validation spans domains; a jointly framed AI-cyber assurance programme is not explicit.</t>
  </si>
  <si>
    <t>DORA (applied January 2025) and Consumer Duty are named and operational resilience is mature; emerging AI regulation is noted. Cross-regulatory preparedness partly framed together.</t>
  </si>
  <si>
    <t>printed p.343, 353</t>
  </si>
  <si>
    <t>DORA + Consumer Duty named.</t>
  </si>
  <si>
    <t>The Board oversees technology/AI transformation and resilience/security as priorities and fosters responsible innovation; an explicit AI-strategy-to-cyber-resilience link is not articulated.</t>
  </si>
  <si>
    <t>printed p.125</t>
  </si>
  <si>
    <t>Lloyds Banking Group plc</t>
  </si>
  <si>
    <t>Lloyds operates AI ethics principles and an Ethical AI framework embedded within its Group data and model risk policies, alongside a data ethics framework.</t>
  </si>
  <si>
    <t>printed p.29, 81</t>
  </si>
  <si>
    <t>AI use cases are overseen via a dedicated Data and AI Ethics Committee; GenAI deep dives and model-risk AI oversight occur at Board committees. No named Chief AI Officer disclosed.</t>
  </si>
  <si>
    <t>printed p.29, 81, 92</t>
  </si>
  <si>
    <t>Data and AI Ethics Committee = named AI oversight body.</t>
  </si>
  <si>
    <t>A 'Leading with AI' programme (with Cambridge Spark) was delivered to over 200 senior leaders, with Board-level AI engagement.</t>
  </si>
  <si>
    <t>printed p.29</t>
  </si>
  <si>
    <t>Safe, responsible use of AI models/tools is managed within the risk management framework; an Ethical AI framework and model risk appetite apply.</t>
  </si>
  <si>
    <t>printed p.24, 29</t>
  </si>
  <si>
    <t>AI sits within model risk: an Ethical AI framework within model risk policies, a deep dive on generative/agentic AI with an associated assurance framework, and SS1/23 principles embedded.</t>
  </si>
  <si>
    <t>printed p.27, 29, 92, 96</t>
  </si>
  <si>
    <t>Strong AI indicator: Ethical AI within MRM; SS1/23 embedded.</t>
  </si>
  <si>
    <t>The model risk operating framework was strengthened; an AI/model inventory is not explicitly named.</t>
  </si>
  <si>
    <t>printed p.27</t>
  </si>
  <si>
    <t>Generative/agentic AI use cases are overseen with an associated assurance framework; the Ethical AI framework governs AI use.</t>
  </si>
  <si>
    <t>printed p.81, 92</t>
  </si>
  <si>
    <t>A data ethics framework and data ethics/data privacy policies operate within the Group data and model risk policies.</t>
  </si>
  <si>
    <t>printed p.29, 33</t>
  </si>
  <si>
    <t>AI's impact on customer service and accessibility limitations is explicitly considered with updates to the Board; Consumer Duty governs outcomes.</t>
  </si>
  <si>
    <t>printed p.40</t>
  </si>
  <si>
    <t>AI ethics principles and the Data and AI Ethics Committee govern ethical AI use; explicit bias-testing metrics are not disclosed.</t>
  </si>
  <si>
    <t>printed p.81</t>
  </si>
  <si>
    <t>AI ethics principles govern AI use; AI explainability is not explicitly addressed.</t>
  </si>
  <si>
    <t>Third Party Supplier Policies and supplier risk management operate; AI-specific vendor governance is not separately disclosed.</t>
  </si>
  <si>
    <t>printed p.38</t>
  </si>
  <si>
    <t>An assurance framework accompanies generative/agentic AI oversight; model risk monitoring and quarterly reviews operate.</t>
  </si>
  <si>
    <t>printed p.29, 92</t>
  </si>
  <si>
    <t>An AI assurance framework and use-case oversight are referenced; an AI-specific testing/incident process is not explicitly disclosed.</t>
  </si>
  <si>
    <t>printed p.92</t>
  </si>
  <si>
    <t>An AI assurance framework operates and Internal Audit reviews the control environment; the model risk framework's effectiveness is assessed.</t>
  </si>
  <si>
    <t>printed p.92, 96</t>
  </si>
  <si>
    <t>An IT and Cyber Security Governance framework and a Group Security Policy (aligned to the NIST Cyber Security Framework) govern information, cyber and physical security.</t>
  </si>
  <si>
    <t>printed p.33, 196</t>
  </si>
  <si>
    <t>Group Security Policy aligned to NIST CSF (RQ3).</t>
  </si>
  <si>
    <t>The Group Risk Committee and Board Risk Committee (supported by an IT and Cyber Advisory Forum attended by Board members) oversee cyber risk; no named CISO disclosed.</t>
  </si>
  <si>
    <t>printed p.196</t>
  </si>
  <si>
    <t>A three-lines-of-defence model operates; cyber risk is managed within the risk management framework and overseen by the Group/Board Risk Committees.</t>
  </si>
  <si>
    <t>printed p.139, 196</t>
  </si>
  <si>
    <t>Information, cyber and security risks are identified and managed within appetite; cyber sits within operational risk.</t>
  </si>
  <si>
    <t>printed p.27, 196</t>
  </si>
  <si>
    <t>An explicit asset inventory / asset-management capability is not disclosed.</t>
  </si>
  <si>
    <t>Third Party Supplier Policies and supplier assurance operate; operational resilience covers cyber and third-party implications.</t>
  </si>
  <si>
    <t>printed p.38, 87</t>
  </si>
  <si>
    <t>The Group continues to enhance access controls across business applications and associated IT infrastructure.</t>
  </si>
  <si>
    <t>Confidentiality of material information is ensured via the NIST-aligned Group Security Policy and an information/cyber/physical security policy.</t>
  </si>
  <si>
    <t>Operational resilience to prevent/withstand/respond to cyber threats and IT outages; a resilience self-assessment (scenario testing, recovery timeframes, regulatory expectations) was approved by the Board.</t>
  </si>
  <si>
    <t>printed p.24, 74, 94</t>
  </si>
  <si>
    <t>A threat-based cyber strategy and intelligence scanning operate; a security operations centre / continuous monitoring is not explicitly disclosed.</t>
  </si>
  <si>
    <t>printed p.29, 196</t>
  </si>
  <si>
    <t>A Group Incident Management framework operates, with incident reports reviewed monthly at the Group Incident Operating Forum.</t>
  </si>
  <si>
    <t>A specialist third-party consultancy periodically assesses the maturity of the cyber security programme; threat-led penetration testing is not named.</t>
  </si>
  <si>
    <t>External cyber-maturity assessment; threat-led pen testing not named.</t>
  </si>
  <si>
    <t>Cyber-risk deep dives at committees and an IT and Cyber Advisory Forum support Board oversight and reporting.</t>
  </si>
  <si>
    <t>An information/cyber security policy operates; specific cyber security-awareness training is not separately detailed.</t>
  </si>
  <si>
    <t>printed p.33</t>
  </si>
  <si>
    <t>Internal Audit / the Chief Internal Auditor report on the control environment and an external consultancy independently assesses cyber maturity.</t>
  </si>
  <si>
    <t>printed p.74, 196</t>
  </si>
  <si>
    <t>AI is overseen via the Data and AI Ethics Committee and cyber via the Group/Board Risk Committees (IT and Cyber Advisory Forum); these are separate committees rather than one body owning both.</t>
  </si>
  <si>
    <t>printed p.81, 196</t>
  </si>
  <si>
    <t>No CISO is named; AI governance sits with the Data and AI Ethics Committee/model risk, separate from cyber.</t>
  </si>
  <si>
    <t>Generative AI and cyber risk are both delivered as committee deep dives within governance reporting, presented in the same update context.</t>
  </si>
  <si>
    <t>AI and cybercrime are grouped within one emerging-risk theme ('Evolution of technology, AI and cybercrime'), and AI sits within model risk.</t>
  </si>
  <si>
    <t>AI + cybercrime grouped in one risk theme.</t>
  </si>
  <si>
    <t>AI and cybercrime are framed within a single emerging-risk theme; a fully shared AI-cyber taxonomy is not otherwise detailed.</t>
  </si>
  <si>
    <t>AI is embedded within model risk (Ethical AI framework) and appears alongside cybercrime in the technology risk theme.</t>
  </si>
  <si>
    <t>Cyber controls embedded within the AI development lifecycle are not explicitly disclosed.</t>
  </si>
  <si>
    <t>AI is treated as an emerging risk alongside cybercrime; specific adversarial/poisoning/exfiltration threats are not named.</t>
  </si>
  <si>
    <t>Data ethics, data privacy and information/cyber security policies operate together; AI uses the same data governance.</t>
  </si>
  <si>
    <t>Use of AI within cyber detection/SOC is not disclosed.</t>
  </si>
  <si>
    <t>Third-party supplier and resilience oversight covers cyber; a unified AI+ICT third-party assessment is not disclosed.</t>
  </si>
  <si>
    <t>An AI assurance framework, Internal Audit and an external cyber-maturity assessment operate; a jointly framed AI-cyber assurance programme is not explicit.</t>
  </si>
  <si>
    <t>printed p.92, 196</t>
  </si>
  <si>
    <t>Operational resilience regulatory requirements, Consumer Duty and SS1/23 are addressed; DORA and the EU AI Act are not named together as joint preparedness.</t>
  </si>
  <si>
    <t>printed p.27, 74</t>
  </si>
  <si>
    <t>AI and cyber both feature at Board/committee level and within one technology risk theme; an explicit board-level link between AI strategy and cyber resilience is not articulated.</t>
  </si>
  <si>
    <t>Aviva plc</t>
  </si>
  <si>
    <t>Insurance</t>
  </si>
  <si>
    <t>AI is central to Aviva's efficiency strategy and 12 Generative AI solutions were deployed; no responsible-AI policy or ethics framework is disclosed.</t>
  </si>
  <si>
    <t>printed p.3, 32</t>
  </si>
  <si>
    <t>AI adopted operationally; governance not disclosed.</t>
  </si>
  <si>
    <t>AI features in the Board-level efficiency strategy; no dedicated AI governance oversight body or named owner is disclosed.</t>
  </si>
  <si>
    <t>printed p.3, 26</t>
  </si>
  <si>
    <t>Generative AI solutions were deployed for customer-facing colleagues; AI-specific roles, competence or training are not disclosed.</t>
  </si>
  <si>
    <t>printed p.32</t>
  </si>
  <si>
    <t>AI is used operationally; a documented AI risk assessment process or AI risk appetite is not disclosed.</t>
  </si>
  <si>
    <t>A Solvency II Partial Internal Model (PRA-approved) is used for capital; AI/ML being brought within a model risk management framework is not disclosed.</t>
  </si>
  <si>
    <t>printed p.45</t>
  </si>
  <si>
    <t>A Solvency II internal model is maintained; an AI system/model inventory is not disclosed.</t>
  </si>
  <si>
    <t>A generative AI underwriting tool emphasises accuracy and customer care; responsible-AI lifecycle controls are not disclosed.</t>
  </si>
  <si>
    <t>High data privacy standards are maintained; AI-specific data governance is not disclosed.</t>
  </si>
  <si>
    <t>Generative AI supports customer experience and Consumer Duty is embedded; a formal AI impact assessment on customers is not disclosed.</t>
  </si>
  <si>
    <t>printed p.32, 78</t>
  </si>
  <si>
    <t>AI fairness or harmful-bias management is not disclosed.</t>
  </si>
  <si>
    <t>AI transparency or explainability is not disclosed.</t>
  </si>
  <si>
    <t>Supplier and third-party risk is managed with Board oversight; AI-specific vendor governance is not disclosed.</t>
  </si>
  <si>
    <t>printed p.51</t>
  </si>
  <si>
    <t>AI is deployed operationally; monitoring/measurement of AI performance is not disclosed.</t>
  </si>
  <si>
    <t>AI testing, incident management or escalation is not disclosed.</t>
  </si>
  <si>
    <t>Internal Audit (third line) assures risk management generally; AI-specific independent assurance is not disclosed.</t>
  </si>
  <si>
    <t>printed p.75</t>
  </si>
  <si>
    <t>IT and cyber security risk is managed and operational resilience is embedded in line with regulation (incl. third-party); a discrete board-approved cyber policy is not separately detailed.</t>
  </si>
  <si>
    <t>printed p.280</t>
  </si>
  <si>
    <t>The Board Risk Committee oversees risks including IT and cyber security; no named CISO is disclosed.</t>
  </si>
  <si>
    <t>printed p.76, 280</t>
  </si>
  <si>
    <t>A three-lines-of-defence model and Risk Committee oversight embed cyber within enterprise risk management.</t>
  </si>
  <si>
    <t>printed p.75, 76</t>
  </si>
  <si>
    <t>IT and cyber security risk is identified and managed within the risk framework; an explicit cyber risk appetite is not detailed.</t>
  </si>
  <si>
    <t>An asset inventory / asset-management capability is not disclosed.</t>
  </si>
  <si>
    <t>Supplier cyber security standards and critical third-party risk management are reviewed as part of operational resilience, with Board reporting.</t>
  </si>
  <si>
    <t>printed p.51, 80, 280</t>
  </si>
  <si>
    <t>Access control / identity management is not disclosed.</t>
  </si>
  <si>
    <t>High data privacy standards are maintained; detailed data-security (CIA) controls are not disclosed.</t>
  </si>
  <si>
    <t>Operational resilience is embedded in line with regulation, including outsourcing and critical third-party risk and recovery planning.</t>
  </si>
  <si>
    <t>printed p.80, 280</t>
  </si>
  <si>
    <t>A CyberCube partnership supports cyber risk analytics for exposure management; internal continuous monitoring/detection is not detailed.</t>
  </si>
  <si>
    <t>Recovery planning is conducted; a cyber incident-response process is not separately detailed.</t>
  </si>
  <si>
    <t>printed p.80</t>
  </si>
  <si>
    <t>Threat-led penetration testing is not disclosed.</t>
  </si>
  <si>
    <t>Third-party and risk updates are reported to the Board via the CRO report and Risk Committee Chair.</t>
  </si>
  <si>
    <t>Security-specific awareness training is not separately detailed.</t>
  </si>
  <si>
    <t>Internal Audit (third line) and the Audit Committee provide independent assurance over risk management.</t>
  </si>
  <si>
    <t>AI and cyber are not shown to be owned by a single committee; cyber sits under the Risk Committee and AI has no disclosed governance body.</t>
  </si>
  <si>
    <t>No CISO is named and no AI-cyber joint accountability is disclosed.</t>
  </si>
  <si>
    <t>AI (strategy) and cyber (risk) are reported separately; they are not presented together.</t>
  </si>
  <si>
    <t>AI risk is not recorded as a named entry in the disclosed risk register.</t>
  </si>
  <si>
    <t>A shared AI-cyber risk taxonomy is not disclosed.</t>
  </si>
  <si>
    <t>AI within both model-risk and cyber-risk frameworks is not disclosed.</t>
  </si>
  <si>
    <t>Cyber controls embedded in the AI lifecycle are not disclosed.</t>
  </si>
  <si>
    <t>AI-specific threats (adversarial, poisoning, exfiltration) are not disclosed.</t>
  </si>
  <si>
    <t>Group data privacy governance applies across the business; AI uses the same data governance, though AI-security integration is not framed.</t>
  </si>
  <si>
    <t>AI incidents routed through a cyber incident-response process are not disclosed.</t>
  </si>
  <si>
    <t>Supplier/third-party risk and cyber supplier standards operate; a unified AI+ICT third-party assessment is not disclosed.</t>
  </si>
  <si>
    <t>printed p.51, 80</t>
  </si>
  <si>
    <t>Internal Audit assures risk management broadly; a jointly framed AI-cyber assurance programme is not disclosed.</t>
  </si>
  <si>
    <t>Operational resilience and Consumer Duty are addressed; DORA and the EU AI Act are not named together as joint preparedness.</t>
  </si>
  <si>
    <t>printed p.49, 280</t>
  </si>
  <si>
    <t>An explicit board-level link between AI strategy and cyber resilience is not articulated.</t>
  </si>
  <si>
    <t>Legal &amp; General Group plc</t>
  </si>
  <si>
    <t>A second-line AI Governance Program is maturing the Group's AI risk and governance posture; the Group engaged in AI regulatory consultations (incl. the FCA Mills Review). A standalone AI policy is not separately named.</t>
  </si>
  <si>
    <t>printed p.46</t>
  </si>
  <si>
    <t>AI Governance Program (second-line AI risk oversight).</t>
  </si>
  <si>
    <t>Second-line AI risk oversight is provided via the AI Governance Program; a committee oversees information security/cyber. No named Chief AI Officer disclosed.</t>
  </si>
  <si>
    <t>printed p.46, 75</t>
  </si>
  <si>
    <t>The AI Governance Program is responsible for the AI risk/governance posture and a secure environment for internal AI experimentation.</t>
  </si>
  <si>
    <t>Proportionate second-line AI risk oversight operates via the AI Governance Program.</t>
  </si>
  <si>
    <t>The model risk management framework was enhanced to align with the PRA's SS1/23 principles; AI is governed via a separate AI Governance Program rather than explicitly within model risk.</t>
  </si>
  <si>
    <t>printed p.70</t>
  </si>
  <si>
    <t>A Solvency UK internal model and an enhanced model risk framework operate; an AI/model inventory is not explicitly named.</t>
  </si>
  <si>
    <t>printed p.70, 83</t>
  </si>
  <si>
    <t>A secure environment for internal AI experimentation is delivered; detailed AI lifecycle controls are not separately set out.</t>
  </si>
  <si>
    <t>Mandatory data privacy training operates; AI-specific data governance is not separately detailed.</t>
  </si>
  <si>
    <t>printed p.35</t>
  </si>
  <si>
    <t>AI is used to deliver better customer outcomes and Consumer Duty applies; a formal AI impact assessment is not disclosed.</t>
  </si>
  <si>
    <t>AI fairness/bias management is not explicitly disclosed.</t>
  </si>
  <si>
    <t>AI transparency/explainability is not explicitly disclosed.</t>
  </si>
  <si>
    <t>Third-party risk management operates; AI-specific vendor governance is not separately disclosed.</t>
  </si>
  <si>
    <t>printed p.71</t>
  </si>
  <si>
    <t>The AI Governance Program matures the AI risk posture and model monitoring operates under the SS1/23-aligned framework.</t>
  </si>
  <si>
    <t>printed p.46, 70</t>
  </si>
  <si>
    <t>A secure AI experimentation environment is referenced; AI-specific testing/incident processes are not detailed.</t>
  </si>
  <si>
    <t>Group Internal Audit (third line) provides independent assurance and the internal model is validated; AI-specific assurance is not separately framed.</t>
  </si>
  <si>
    <t>printed p.41, 83</t>
  </si>
  <si>
    <t>A board committee ensures the Group operates within its information security and cyber risk appetite; operational resilience controls operate.</t>
  </si>
  <si>
    <t>A committee oversees information security and cyber risk appetite; no named CISO is disclosed.</t>
  </si>
  <si>
    <t>A three-lines-of-defence model under the CRO and committee oversight embed cyber within the risk management framework.</t>
  </si>
  <si>
    <t>printed p.41, 75</t>
  </si>
  <si>
    <t>The Group operates within a targeted information security and cyber risk appetite.</t>
  </si>
  <si>
    <t>Third-party risk management operates and the Group is preparing for FCA/PRA outsourcing and third-party reporting rules.</t>
  </si>
  <si>
    <t>printed p.45, 71</t>
  </si>
  <si>
    <t>Cyber recovery and an information-security risk appetite operate; detailed CIA controls are not separately set out.</t>
  </si>
  <si>
    <t>printed p.45, 75</t>
  </si>
  <si>
    <t>Operational resilience regulatory expectations were met: important business services identified, controls strengthened, testing completed and cyber recovery demonstrated.</t>
  </si>
  <si>
    <t>Op resilience regulatory expectations met.</t>
  </si>
  <si>
    <t>Continuous monitoring / threat detection is not separately detailed.</t>
  </si>
  <si>
    <t>Cyber recovery capabilities are demonstrated and the Group is preparing for operational incident reporting rules.</t>
  </si>
  <si>
    <t>A committee oversees cyber risk appetite with reporting; specific security metrics are not separately detailed.</t>
  </si>
  <si>
    <t>Mandatory training includes data privacy; cyber-specific security training is not separately detailed.</t>
  </si>
  <si>
    <t>Group Internal Audit (third line) provides independent assurance over risk management and internal control.</t>
  </si>
  <si>
    <t>printed p.41</t>
  </si>
  <si>
    <t>A committee oversees information security/cyber and a separate AI Governance Program oversees AI; no single body owns both.</t>
  </si>
  <si>
    <t>No CISO is named and AI is overseen by a separate AI Governance Program.</t>
  </si>
  <si>
    <t>AI risk and cyber risk are overseen separately; they are not presented together.</t>
  </si>
  <si>
    <t>AI risk is a recognised risk with proportionate second-line oversight within the risk framework.</t>
  </si>
  <si>
    <t>AI is governed via the AI Governance Program and model risk via the SS1/23-aligned framework; AI within both is not explicit.</t>
  </si>
  <si>
    <t>Security is embedded in the AI environment via a secure internal experimentation environment.</t>
  </si>
  <si>
    <t>AI-specific threats are not explicitly disclosed.</t>
  </si>
  <si>
    <t>Data privacy governance spans the Group; AI uses the same data governance, though AI-security integration is not framed.</t>
  </si>
  <si>
    <t>Third-party risk management covers technology; a unified AI+ICT third-party assessment is not disclosed.</t>
  </si>
  <si>
    <t>Internal Audit and the AI Governance Program operate; a jointly framed AI-cyber assurance programme is not disclosed.</t>
  </si>
  <si>
    <t>printed p.41, 46</t>
  </si>
  <si>
    <t>Operational resilience preparation, Consumer Duty, SS1/23 and AI consultations (Mills Review) are addressed; DORA is not named.</t>
  </si>
  <si>
    <t>printed p.45, 46</t>
  </si>
  <si>
    <t>Prudential plc</t>
  </si>
  <si>
    <t>Prudential applies published AI Ethics Principles to all AI use, covering both its own and third-party AI solutions.</t>
  </si>
  <si>
    <t>printed p.66</t>
  </si>
  <si>
    <t>Published AI Ethics Principles (own + third-party).</t>
  </si>
  <si>
    <t>AI systems are evaluated via appropriate governance channels for ethical considerations; the Risk Committee leads risk governance. No named Chief AI Officer disclosed.</t>
  </si>
  <si>
    <t>printed p.56, 66</t>
  </si>
  <si>
    <t>AI is deployed across customer touchpoints (e.g. AI-enabled claims adjudication); AI-specific roles/training are not separately detailed.</t>
  </si>
  <si>
    <t>printed p.31, 66</t>
  </si>
  <si>
    <t>AI risks are addressed within technology risk management and via the AI Ethics Principles evaluation governance.</t>
  </si>
  <si>
    <t>printed p.65, 66</t>
  </si>
  <si>
    <t>Model risk is a principal risk and the GIECA internal model operates with controls on model changes; AI being explicitly within model risk is not stated.</t>
  </si>
  <si>
    <t>printed p.57, 68</t>
  </si>
  <si>
    <t>The GIECA internal model is maintained with robust controls on model changes; an AI inventory is not separately named.</t>
  </si>
  <si>
    <t>printed p.57</t>
  </si>
  <si>
    <t>Every AI system is evaluated via governance channels for ethical considerations; detailed lifecycle controls are not separately set out.</t>
  </si>
  <si>
    <t>A Group Data Governance Policy, Group Privacy Policy and privacy-by-design / data-minimisation principles govern data used by AI.</t>
  </si>
  <si>
    <t>AI-enabled customer services are evaluated for ethical considerations and customer-centricity; a formal AI impact assessment is not separately detailed.</t>
  </si>
  <si>
    <t>AI Ethics Principles require ethical, socially responsible AI; explicit bias-testing metrics are not disclosed.</t>
  </si>
  <si>
    <t>AI Ethics Principles govern AI use; AI explainability is not explicitly addressed.</t>
  </si>
  <si>
    <t>AI Ethics Principles explicitly apply to third-party AI solutions, evaluated via governance channels; a third-party risk programme operates.</t>
  </si>
  <si>
    <t>AI systems are evaluated via governance channels and technology risk is monitored and reported to the Risk Committee.</t>
  </si>
  <si>
    <t>AI governance channels operate; an AI-specific testing/incident process is not separately detailed.</t>
  </si>
  <si>
    <t>Internal Audit (third line) independently assesses control effectiveness, including over technology risk.</t>
  </si>
  <si>
    <t>printed p.65</t>
  </si>
  <si>
    <t>A Group Information Security Policy (alongside Privacy and Data Governance Policies) governs information, cyber and data security.</t>
  </si>
  <si>
    <t>Technology risk management, including information security, is overseen and reported to the Risk Committee, which leads risk governance; no named CISO is disclosed.</t>
  </si>
  <si>
    <t>printed p.56, 65</t>
  </si>
  <si>
    <t>Technology, data and cyber security risk is a principal risk overseen within the risk governance structure with internal audit as the third line.</t>
  </si>
  <si>
    <t>printed p.59, 65</t>
  </si>
  <si>
    <t>Technology, data and cyber security risk is managed within Group risk limits and appetite.</t>
  </si>
  <si>
    <t>printed p.57, 59</t>
  </si>
  <si>
    <t>A third-party management risk programme (risk assessment, risk-based assurance, internal audit and monitoring) manages outsourcing and supplier risk.</t>
  </si>
  <si>
    <t>Access control / identity management is not separately detailed.</t>
  </si>
  <si>
    <t>Risks of data exfiltration, loss of data integrity and DDoS are managed under the Group Information Security Policy with privacy-by-design.</t>
  </si>
  <si>
    <t>Operational resilience is a principal risk with reliance on third-party operational resilience actively managed.</t>
  </si>
  <si>
    <t>printed p.57, 65</t>
  </si>
  <si>
    <t>A Global Integrated Command Centre provides Group-wide monitoring, detection and incident management.</t>
  </si>
  <si>
    <t>Global Integrated Command Centre (monitoring/detection).</t>
  </si>
  <si>
    <t>MANUAL CHECK — evidence not confirmed by keyword search</t>
  </si>
  <si>
    <t>Periodic cyber incident-response drills run and the Global Integrated Command Centre handles incident management.</t>
  </si>
  <si>
    <t>Material technology risks, including information security, are reported to the Risk Committee.</t>
  </si>
  <si>
    <t>Regular phishing simulation exercises reinforce cyber risk awareness.</t>
  </si>
  <si>
    <t>Internal Audit (third line) provides independent assessment of control effectiveness over technology risk.</t>
  </si>
  <si>
    <t>Cyber/technology risk is overseen via the Risk Committee and AI via ethics governance channels; a single body owning both is not disclosed.</t>
  </si>
  <si>
    <t>printed p.56, 65, 66</t>
  </si>
  <si>
    <t>No CISO is named; AI is governed via separate ethics governance channels.</t>
  </si>
  <si>
    <t>Generative AI is explicitly noted as amplifying cyber adversary capability within the technology/cyber risk discussion, linking the two.</t>
  </si>
  <si>
    <t>AI sits within technology risk and model risk within the enterprise risk framework.</t>
  </si>
  <si>
    <t>AI is governed via ethics principles and model risk is a separate principal risk; AI within both is not explicit.</t>
  </si>
  <si>
    <t>printed p.66, 68</t>
  </si>
  <si>
    <t>AI is described as needing to be secure; cyber controls embedded in the AI lifecycle are not explicitly disclosed.</t>
  </si>
  <si>
    <t>Generative AI is explicitly recognised as increasing cyber threat capability available to adversaries.</t>
  </si>
  <si>
    <t>The Group Information Security, Privacy and Data Governance Policies together govern data for both AI and security.</t>
  </si>
  <si>
    <t>A Global Integrated Command Centre manages incidents; AI-specific incident routing is not separately stated.</t>
  </si>
  <si>
    <t>A Command Centre performs monitoring/detection; use of AI within cyber operations is not explicitly stated.</t>
  </si>
  <si>
    <t>AI Ethics Principles apply to third-party AI and a third-party risk programme covers technology/cyber; a fully unified AI+ICT assessment is not separately framed.</t>
  </si>
  <si>
    <t>Internal Audit assesses technology-risk controls and AI is evaluated via governance channels; a jointly framed AI-cyber assurance programme is not explicit.</t>
  </si>
  <si>
    <t>Operational resilience and cyber/data-protection regulation are addressed; DORA and the EU AI Act are not named together.</t>
  </si>
  <si>
    <t>AI is to be scaled responsibly within robust cybersecurity, data protection and ethical governance frameworks, linking AI scaling to cyber.</t>
  </si>
  <si>
    <t>printed p.10</t>
  </si>
  <si>
    <t>3i Group plc</t>
  </si>
  <si>
    <t>Asset Management</t>
  </si>
  <si>
    <t>The use of AI tools is reviewed by the Group Risk Committee within the IT framework; no responsible-AI policy or ethics framework is disclosed.</t>
  </si>
  <si>
    <t>printed p.83</t>
  </si>
  <si>
    <t>The Group Risk Committee reviews the use of AI tools as part of IT-framework oversight; no dedicated AI governance body or named owner is disclosed.</t>
  </si>
  <si>
    <t>AI-specific roles, competence or training are not disclosed.</t>
  </si>
  <si>
    <t>AI tools are considered within IT-framework risk oversight; a documented AI risk assessment process or appetite is not disclosed.</t>
  </si>
  <si>
    <t>3i is an investment company; a model risk management framework covering AI/ML is not disclosed.</t>
  </si>
  <si>
    <t>An AI system/model inventory is not disclosed.</t>
  </si>
  <si>
    <t>Responsible-AI lifecycle controls are not disclosed.</t>
  </si>
  <si>
    <t>AI-specific data governance is not disclosed.</t>
  </si>
  <si>
    <t>An AI impact assessment on customers is not disclosed.</t>
  </si>
  <si>
    <t>AI fairness/bias management is not disclosed.</t>
  </si>
  <si>
    <t>AI transparency/explainability is not disclosed.</t>
  </si>
  <si>
    <t>Third-party IT supplier risk is managed; AI-specific vendor governance is not disclosed.</t>
  </si>
  <si>
    <t>printed p.93</t>
  </si>
  <si>
    <t>Monitoring/measurement of AI performance is not disclosed.</t>
  </si>
  <si>
    <t>AI testing/incident management is not disclosed.</t>
  </si>
  <si>
    <t>AI-specific independent assurance is not disclosed.</t>
  </si>
  <si>
    <t>Information Security policies and incident-management processes are maintained and periodically tested; the Group Risk Committee reviews the IT/cyber framework.</t>
  </si>
  <si>
    <t>printed p.83, 93</t>
  </si>
  <si>
    <t>A part-time CISO provides independent expert input and the Group Risk Committee oversees cyber security; cyber is a principal risk.</t>
  </si>
  <si>
    <t>A three-lines-of-defence framework and Group Risk Committee oversight embed cyber within enterprise risk; cyber is a principal risk.</t>
  </si>
  <si>
    <t>Cyber risk is a principal risk monitored via a KPI framework within the Group's risk appetite approach.</t>
  </si>
  <si>
    <t>printed p.80, 93</t>
  </si>
  <si>
    <t>Third-party IT supplier risk is managed and business continuity oversight covers third-party suppliers.</t>
  </si>
  <si>
    <t>Technical controls are referenced; access control / identity management is not separately detailed.</t>
  </si>
  <si>
    <t>Technical controls and Information Security policies protect against loss/theft/compromise of sensitive data.</t>
  </si>
  <si>
    <t>Business continuity and resilience planning and testing operate, with stress tests supporting the resilience statement.</t>
  </si>
  <si>
    <t>24/7 threat monitoring with defined incident-response protocols operates.</t>
  </si>
  <si>
    <t>Defined incident-response protocols and incident-management processes are periodically tested and refreshed.</t>
  </si>
  <si>
    <t>Penetration testing and vulnerability scans are conducted.</t>
  </si>
  <si>
    <t>Cyber risks and performance are monitored via a KPI framework with Group Risk Committee oversight.</t>
  </si>
  <si>
    <t>Periodic cyber security training for all staff and an ethical phishing programme operate.</t>
  </si>
  <si>
    <t>Internal Audit reviews controls generally; an independent cyber-specific assurance is not separately detailed.</t>
  </si>
  <si>
    <t>printed p.56</t>
  </si>
  <si>
    <t>The Group Risk Committee reviews both the use of AI tools and cyber within IT-framework oversight; AI has no dedicated governance body.</t>
  </si>
  <si>
    <t>A part-time CISO covers cyber; AI tools are overseen via the IT framework, not a defined CISO-AI remit.</t>
  </si>
  <si>
    <t>AI tools and cyber are both reviewed within the same IT-framework oversight, but not presented as integrated AI-cyber reporting.</t>
  </si>
  <si>
    <t>Cyber is a named principal risk; AI is noted within IT-framework risk but not as a distinct register entry.</t>
  </si>
  <si>
    <t>AI-specific threats are not disclosed.</t>
  </si>
  <si>
    <t>Shared data governance across AI and security is not disclosed.</t>
  </si>
  <si>
    <t>AI incidents via the cyber incident-response process are not disclosed.</t>
  </si>
  <si>
    <t>AI used within cyber operations is not disclosed.</t>
  </si>
  <si>
    <t>Third-party IT supplier risk is managed; a unified AI+ICT third-party assessment is not disclosed.</t>
  </si>
  <si>
    <t>Internal Audit assures controls generally; a jointly framed AI-cyber assurance programme is not disclosed.</t>
  </si>
  <si>
    <t>Operational resilience is addressed; DORA and the EU AI Act are not named together as joint preparedness.</t>
  </si>
  <si>
    <t>AI tools and cyber/IT resilience are both within IT-framework oversight; an explicit board-level AI-strategy-to-cyber link is not articulated.</t>
  </si>
  <si>
    <t>M&amp;G plc</t>
  </si>
  <si>
    <t>M&amp;G adopts AI in a considered manner, supported by an AI framework, governance structures, oversight and training.</t>
  </si>
  <si>
    <t>AI framework + governance structures disclosed.</t>
  </si>
  <si>
    <t>AI adoption is supported by governance structures and oversight, with operational-risk reporting to Executive and Board Risk Committees. No named Chief AI Officer disclosed.</t>
  </si>
  <si>
    <t>AI adoption is supported by training as part of the AI framework.</t>
  </si>
  <si>
    <t>AI risks are recognised and managed within the AI framework and the Risk Management Framework under Board-approved appetite.</t>
  </si>
  <si>
    <t>A model risk management framework explicitly covering AI/ML is not disclosed.</t>
  </si>
  <si>
    <t>AI is adopted in a considered manner with oversight; detailed responsible-AI lifecycle controls are not set out.</t>
  </si>
  <si>
    <t>Data is a defined operational risk with specific policies; AI-specific data governance is not separately detailed.</t>
  </si>
  <si>
    <t>Consumer Duty governs customer outcomes; a formal AI impact assessment is not disclosed.</t>
  </si>
  <si>
    <t>printed p.36</t>
  </si>
  <si>
    <t>Outsourcing/third-party supplier risk is managed; AI-specific vendor governance is not separately disclosed.</t>
  </si>
  <si>
    <t>AI oversight is referenced within the AI framework; monitoring/measurement of AI performance is not detailed.</t>
  </si>
  <si>
    <t>AI is governed via the AI framework; AI-specific testing/incident processes are not detailed.</t>
  </si>
  <si>
    <t>Internal Audit (third line), empowered by the Audit Committee, audits governance, risk and control; AI-specific assurance is not separately framed.</t>
  </si>
  <si>
    <t>printed p.41, 94</t>
  </si>
  <si>
    <t>Specific policies and standards exist for IT, cyber, data, change and outsourcing within the Risk Management Framework and Operational Risk Standards.</t>
  </si>
  <si>
    <t>Operational (incl. cyber) risk reporting goes to Executive and Board Risk Committees and a Cyber team operates. No named CISO disclosed.</t>
  </si>
  <si>
    <t>A three-lines-of-defence model and Risk Management Framework embed cyber within enterprise risk with Board oversight.</t>
  </si>
  <si>
    <t>Operational risks including cyber are managed within Board-approved risk appetite, reviewed annually.</t>
  </si>
  <si>
    <t>Outsourcing and third-party supplier risk is a defined operational risk with dedicated framework enhancement programmes.</t>
  </si>
  <si>
    <t>Specific cyber and data policies/standards protect information; M&amp;G reported no material security incidents in 2025.</t>
  </si>
  <si>
    <t>Operational resilience is a key regulatory priority with dedicated framework, process and control enhancement programmes.</t>
  </si>
  <si>
    <t>printed p.36, 41</t>
  </si>
  <si>
    <t>A Cyber team maintains heightened vigilance; continuous monitoring / threat detection is not separately detailed.</t>
  </si>
  <si>
    <t>Following high-profile sector attacks, lessons-learned reviews were conducted by Risk, Compliance and the Cyber team.</t>
  </si>
  <si>
    <t>Regular reporting on operational (incl. cyber) risk is provided to Executive and Board Risk Committees.</t>
  </si>
  <si>
    <t>Increased focus on cybersecurity awareness is referenced; specific security training is not separately detailed.</t>
  </si>
  <si>
    <t>printed p.37</t>
  </si>
  <si>
    <t>Internal Audit (third line), empowered by the Audit Committee, audits the effectiveness of internal controls.</t>
  </si>
  <si>
    <t>Operational risk (incl. cyber) and AI governance both report into Executive/Board Risk Committees; a single body owning both AI and cyber is not distinctly disclosed.</t>
  </si>
  <si>
    <t>No CISO is named and AI is governed via a separate AI framework.</t>
  </si>
  <si>
    <t>AI and cyber are managed within operational risk reporting but not presented together as integrated AI-cyber reporting.</t>
  </si>
  <si>
    <t>AI risk is recognised within the AI framework and cyber within operational risk; AI is not a distinct register entry alongside cyber.</t>
  </si>
  <si>
    <t>AI is governed via the AI framework; model risk specific to AI is not disclosed.</t>
  </si>
  <si>
    <t>Threat scanning explicitly anticipates emerging threats related to AI and post-quantum computing within the changing threat environment.</t>
  </si>
  <si>
    <t>Data is a defined operational risk; AI uses the same data governance, though AI-security integration is not framed.</t>
  </si>
  <si>
    <t>Outsourcing/third-party risk is managed; a unified AI+ICT third-party assessment is not disclosed.</t>
  </si>
  <si>
    <t>Internal Audit assures governance/risk/control; a jointly framed AI-cyber assurance programme is not disclosed.</t>
  </si>
  <si>
    <t>Operational resilience and Consumer Duty are addressed; DORA and the EU AI Act are not named together.</t>
  </si>
  <si>
    <t>printed p.36, 47</t>
  </si>
  <si>
    <t>AI and cyber both feature in risk reporting; an explicit board-level AI-strategy-to-cyber-resilience link is not articulated.</t>
  </si>
  <si>
    <t>Schroders plc</t>
  </si>
  <si>
    <t>A Responsible AI Committee (a sub-committee of the Group Risk Committee) provides guidance on and oversight of AI use across the firm.</t>
  </si>
  <si>
    <t>printed p.26, 29</t>
  </si>
  <si>
    <t>Responsible AI Committee (sub-committee of GRC).</t>
  </si>
  <si>
    <t>A Responsible AI Committee oversees AI use firm-wide and reports into the Group Risk Committee with clear accountability and escalation. No named Chief AI Officer disclosed.</t>
  </si>
  <si>
    <t>AI is used within Risk and Compliance and overseen by the Responsible AI Committee; AI-specific training is not separately detailed.</t>
  </si>
  <si>
    <t>printed p.26</t>
  </si>
  <si>
    <t>AI risks are controlled and overseen by the Responsible AI Committee within the risk management framework.</t>
  </si>
  <si>
    <t>The Responsible AI Committee provides oversight of AI use across the firm; detailed lifecycle controls are not separately set out.</t>
  </si>
  <si>
    <t>AI is applied to risk/compliance using a data-driven approach; information-security data governance applies, though AI-specific data governance is not separately detailed.</t>
  </si>
  <si>
    <t>The Responsible AI Committee oversees AI risks across the firm; explicit bias-testing metrics are not disclosed.</t>
  </si>
  <si>
    <t>AI use is overseen by the Responsible AI Committee; AI explainability is not explicitly addressed.</t>
  </si>
  <si>
    <t>Critical third parties' capabilities are overseen within the Information Security framework; AI-specific vendor governance is not separately disclosed.</t>
  </si>
  <si>
    <t>The Responsible AI Committee provides ongoing oversight of AI use; AI-specific performance metrics are not separately detailed.</t>
  </si>
  <si>
    <t>AI use is overseen by the Responsible AI Committee; AI-specific testing/incident processes are not detailed.</t>
  </si>
  <si>
    <t>Internal Audit (third line) provides independent assurance over the control environment; AI oversight sits with the Responsible AI Committee.</t>
  </si>
  <si>
    <t>printed p.25</t>
  </si>
  <si>
    <t>A dedicated Information Security function operates an Information Security Risk framework with cyber risk metrics aligned to the NIST Cybersecurity Framework.</t>
  </si>
  <si>
    <t>Cyber metrics aligned to NIST CSF (RQ3).</t>
  </si>
  <si>
    <t>A named Chief Information Security Officer provides updates to the Board and an Information Security Risk Oversight Committee oversees cyber risk.</t>
  </si>
  <si>
    <t>printed p.26, 55</t>
  </si>
  <si>
    <t>Information security risk is overseen across second and third lines within a three-lines-of-defence model and reported to the Group Risk Committee.</t>
  </si>
  <si>
    <t>printed p.29, 133</t>
  </si>
  <si>
    <t>Cyber risk metrics are monitored against risk appetite, aligned to the NIST Cybersecurity Framework.</t>
  </si>
  <si>
    <t>printed p.27, 29</t>
  </si>
  <si>
    <t>An asset inventory / asset-management capability is not separately disclosed.</t>
  </si>
  <si>
    <t>The Information Security Risk framework includes oversight of critical third parties' cyber capabilities.</t>
  </si>
  <si>
    <t>Information security risk (confidentiality, integrity, availability) is managed via the Information Security Risk framework.</t>
  </si>
  <si>
    <t>Operational resilience meets PRA, FCA and DORA deadlines with severe-but-plausible scenario testing, table-top exercises and simulations involving critical third parties.</t>
  </si>
  <si>
    <t>Cyber risk metrics are monitored under the NIST-aligned framework; a continuous-monitoring SOC is not separately detailed.</t>
  </si>
  <si>
    <t>A global operational incident log is maintained and the Information Security Risk Oversight Committee manages cyber risk and escalation.</t>
  </si>
  <si>
    <t>printed p.29, 177</t>
  </si>
  <si>
    <t>An independent information security review was sponsored; threat-led penetration testing is not separately named.</t>
  </si>
  <si>
    <t>The CISO and CTO report cyber risk, threat landscape and strategy to the Board, with regular monitoring of cyber risk metrics.</t>
  </si>
  <si>
    <t>Cyber risk awareness is referenced; specific security training is not separately detailed.</t>
  </si>
  <si>
    <t>An independent information security review was undertaken and Internal Audit (third line) assures the control environment.</t>
  </si>
  <si>
    <t>printed p.25, 26</t>
  </si>
  <si>
    <t>The Responsible AI Committee and the Information Security Risk Oversight Committee are both sub-committees of the Group Risk Committee, giving a common parent body over AI and cyber.</t>
  </si>
  <si>
    <t>Both AI and cyber committees sit under the GRC.</t>
  </si>
  <si>
    <t>A CISO leads cyber and a Responsible AI Committee governs AI; the CISO remit is not stated to include AI.</t>
  </si>
  <si>
    <t>AI and cyber are both reported into the Group Risk Committee via their respective sub-committees, within the same risk-governance structure.</t>
  </si>
  <si>
    <t>AI risk (Responsible AI Committee) and information security risk both sit within the enterprise risk framework under the GRC.</t>
  </si>
  <si>
    <t>AI is governed by the Responsible AI Committee and cyber by the Information Security framework; AI within both model-risk and cyber is not explicit.</t>
  </si>
  <si>
    <t>Cyber controls embedded in the AI lifecycle are not explicitly disclosed.</t>
  </si>
  <si>
    <t>AI-specific threats (adversarial, poisoning, exfiltration) are not explicitly disclosed.</t>
  </si>
  <si>
    <t>Information-security data governance and AI oversight operate; a shared AI-security data governance is not separately framed.</t>
  </si>
  <si>
    <t>The Information Security framework oversees critical third parties' cyber capabilities; a unified AI+ICT third-party assessment is not separately disclosed.</t>
  </si>
  <si>
    <t>Internal Audit and an independent information security review assure controls; AI oversight sits with the Responsible AI Committee — not a single joint AI-cyber assurance.</t>
  </si>
  <si>
    <t>Operational resilience meets PRA, FCA and DORA deadlines; DORA is named, though joint AI-cyber regulatory preparedness is not framed together.</t>
  </si>
  <si>
    <t>printed p.26, 65</t>
  </si>
  <si>
    <t>AI and cyber both sit under the GRC; an explicit board-level AI-strategy-to-cyber-resilience link is not articulated.</t>
  </si>
  <si>
    <t>London Stock Exchange Group plc</t>
  </si>
  <si>
    <t>No dedicated responsible-AI policy or principles disclosed; AI is governed within the model risk policy. 'LSEG Everywhere' is an AI commercial strategy, not a governance framework.</t>
  </si>
  <si>
    <t>printed p.6, 54</t>
  </si>
  <si>
    <t>AI risk is overseen via the Model and Board Risk Committees within model risk; no AI-specific committee or named AI owner (e.g. CAIO) is disclosed.</t>
  </si>
  <si>
    <t>AI/LLM/ML research and engineering expertise exists; AI-specific governance roles or training are not disclosed.</t>
  </si>
  <si>
    <t>printed p.106</t>
  </si>
  <si>
    <t>Generative/agentic AI risk (hallucinations, unpredictable behaviour) is identified within model risk and the ERMF risk appetite.</t>
  </si>
  <si>
    <t>AI (incl. generative/agentic) is explicitly managed within a comprehensive model risk governance framework: a model risk policy, lifecycle controls and a centralised model management system.</t>
  </si>
  <si>
    <t>printed p.54</t>
  </si>
  <si>
    <t>AI governed within comprehensive model risk framework.</t>
  </si>
  <si>
    <t>A centralised model management system maintains the firm's models, including AI models.</t>
  </si>
  <si>
    <t>Model risk lifecycle controls apply to models including AI; AI-specific lifecycle controls beyond model risk are not separately detailed.</t>
  </si>
  <si>
    <t>LSEG is a major data business, but AI-specific data governance is not separately framed.</t>
  </si>
  <si>
    <t>printed p.11</t>
  </si>
  <si>
    <t>A formal AI impact assessment on customers/individuals is not disclosed.</t>
  </si>
  <si>
    <t>AI fairness/harmful-bias management is not disclosed.</t>
  </si>
  <si>
    <t>AI transparency/explainability to users is not disclosed.</t>
  </si>
  <si>
    <t>Third-party suppliers are managed within risk appetite; AI-specific vendor governance is not separately disclosed.</t>
  </si>
  <si>
    <t>printed p.48</t>
  </si>
  <si>
    <t>Model monitoring within the model risk lifecycle covers AI models.</t>
  </si>
  <si>
    <t>Model risk lifecycle controls apply; AI-specific testing/incident-escalation is not separately disclosed.</t>
  </si>
  <si>
    <t>Internal Audit (third line) and model risk governance provide assurance over models incl. AI; AI-specific assurance is not separately framed.</t>
  </si>
  <si>
    <t>printed p.38, 54</t>
  </si>
  <si>
    <t>A dedicated cyber security function aligns to the NIST-based Cyber Risk Institute profile within the ERMF; an explicit board-approved cyber policy is not separately stated.</t>
  </si>
  <si>
    <t>Cyber aligned to NIST CRI profile (RQ3).</t>
  </si>
  <si>
    <t>A dedicated cyber security function is led by the Chief Information Security Officer; a Technology, Cyber and Resilience committee and the Board Risk Committee provide oversight.</t>
  </si>
  <si>
    <t>Cyber sits within the Enterprise Risk Management Framework and Group Risk Taxonomy under a three-lines-of-defence model and a Technology, Cyber and Resilience committee.</t>
  </si>
  <si>
    <t>Cyber is a principal risk managed within the Board-approved risk appetite and ERMF.</t>
  </si>
  <si>
    <t>Third-party technology and cyber risks are managed within risk appetite and escalated to the Board.</t>
  </si>
  <si>
    <t>printed p.48, 55</t>
  </si>
  <si>
    <t>Protection against attempts to access/disrupt systems is referenced; explicit access-control/identity-management detail is not disclosed.</t>
  </si>
  <si>
    <t>Cyber controls protect systems and data against unauthorised access, disruption and compromise, with a resilience focus.</t>
  </si>
  <si>
    <t>As a financial market infrastructure provider, operational resilience is a priority; cloud migration enhances resilience, recovery strategies are tested, and major incidents were reduced by 50%.</t>
  </si>
  <si>
    <t>printed p.13, 54</t>
  </si>
  <si>
    <t>Threat intelligence is proactively gathered and improved monitoring tools support faster detection; a dedicated security operations centre is not separately detailed.</t>
  </si>
  <si>
    <t>Improved detection and recovery when incidents occur; recovery strategies are tested; major incidents reduced by 50%.</t>
  </si>
  <si>
    <t>The cyber approach meets regulatory assurance standards; threat-led penetration testing is not named.</t>
  </si>
  <si>
    <t>A Technology, Cyber and Resilience committee oversees cyber and reports within the Board Risk Committee structure.</t>
  </si>
  <si>
    <t>Voluntary Fundamentals training operates; cyber security-specific awareness training is not separately detailed.</t>
  </si>
  <si>
    <t>Internal Audit (third line) provides independent oversight and the cyber approach meets regulatory assurance standards.</t>
  </si>
  <si>
    <t>Cyber sits with a Technology, Cyber and Resilience committee and AI with a Model committee: separate subcommittees rather than one body owning both.</t>
  </si>
  <si>
    <t>The CISO leads cyber; AI is governed within model risk, separate from the CISO remit.</t>
  </si>
  <si>
    <t>Model risk (AI) and cyber are both overseen under the Board Risk Committee via dedicated subcommittees.</t>
  </si>
  <si>
    <t>printed p.38, 52</t>
  </si>
  <si>
    <t>AI risk is recorded within model risk in the ERMF and Group Risk Taxonomy.</t>
  </si>
  <si>
    <t>A single Group Risk Taxonomy spans model risk (AI) and cyber as risk categories.</t>
  </si>
  <si>
    <t>AI is addressed within model risk; cyber notes emerging-technology threats but AI is not strongly embedded in the cyber framework.</t>
  </si>
  <si>
    <t>Cyber controls embedded within the AI lifecycle are not disclosed.</t>
  </si>
  <si>
    <t>AI introduces model-risk dimensions (hallucinations/unpredictable behaviour) and cyber notes emerging-technology threats; specific adversarial/poisoning/exfiltration threats are not named.</t>
  </si>
  <si>
    <t>Data governance spans the data business; shared AI-security data governance is not separately framed.</t>
  </si>
  <si>
    <t>AI incidents routed through the cyber incident-response process are not disclosed.</t>
  </si>
  <si>
    <t>Third-party risk is managed within risk appetite; a unified AI+ICT third-party assessment is not disclosed.</t>
  </si>
  <si>
    <t>Internal Audit and the risk committee structure span model risk (AI) and cyber; a jointly framed AI-cyber assurance programme is not explicit.</t>
  </si>
  <si>
    <t>Operational resilience and regulatory assurance standards are addressed; DORA and the EU AI Act are not named together as joint preparedness.</t>
  </si>
  <si>
    <t>An AI commercial strategy and cyber/resilience are both Board-level priorities; an explicit board link between AI strategy and cyber resilience is not articulated.</t>
  </si>
  <si>
    <t>Wise plc</t>
  </si>
  <si>
    <t>No responsible-AI policy, principles or governance framework is disclosed; AI/ML appears in risk factors and within model risk.</t>
  </si>
  <si>
    <t>printed p.32, 53</t>
  </si>
  <si>
    <t>No AI governance framework disclosed.</t>
  </si>
  <si>
    <t>AI/ML risk is overseen within the Risk Committee via model risk and risk factors; no AI-specific committee or named AI owner is disclosed.</t>
  </si>
  <si>
    <t>printed p.17, 53</t>
  </si>
  <si>
    <t>AI-specific governance roles or training are not disclosed.</t>
  </si>
  <si>
    <t>AI/ML model risk (errors, biased data, failure to adapt to new fraud patterns) is acknowledged and managed within the risk framework.</t>
  </si>
  <si>
    <t>printed p.53</t>
  </si>
  <si>
    <t>AI/ML used in critical functions (financial-crime detection, transaction monitoring) is recognised as model risk; a formal model-risk-management framework is not detailed.</t>
  </si>
  <si>
    <t>An AI/model inventory is not disclosed.</t>
  </si>
  <si>
    <t>Responsible AI development/deployment is referenced as an aim; AI lifecycle controls are not detailed.</t>
  </si>
  <si>
    <t>Data privacy and security obligations and customer-data protection apply; AI-specific data governance is not separately framed.</t>
  </si>
  <si>
    <t>The risk that AI/ML in critical functions could be biased or harmful to consumers is acknowledged; a formal AI impact assessment is not disclosed.</t>
  </si>
  <si>
    <t>The risk of biased AI/ML outputs is acknowledged; AI fairness/bias controls or testing are not disclosed.</t>
  </si>
  <si>
    <t>Vendor/third-party risk management operates; AI-specific vendor governance is not separately disclosed.</t>
  </si>
  <si>
    <t>printed p.165</t>
  </si>
  <si>
    <t>AI/ML models in transaction monitoring are monitored within model risk; AI-specific performance measurement is not separately detailed.</t>
  </si>
  <si>
    <t>An AI-specific testing/incident-escalation process is not disclosed.</t>
  </si>
  <si>
    <t>Internal Audit covers IT, security and financial crime (where AI/ML is used); AI-specific independent assurance is not separately framed.</t>
  </si>
  <si>
    <t>printed p.15</t>
  </si>
  <si>
    <t>A comprehensive cybersecurity programme protecting confidentiality, integrity and availability is integral to the ERMF, with the CISO owning the Information Security Management System.</t>
  </si>
  <si>
    <t>printed p.165, 166</t>
  </si>
  <si>
    <t>The Global CISO owns the ISMS, has a direct reporting line to the Audit and Risk Committee and reports to the Risk Committee at least annually.</t>
  </si>
  <si>
    <t>printed p.166</t>
  </si>
  <si>
    <t>CISO owns ISMS; reports to Audit &amp; Risk Committee.</t>
  </si>
  <si>
    <t>The cybersecurity programme sits within the ERMF under a three-lines-of-defence model, with an Operational Risk Committee overseeing technology and security risk.</t>
  </si>
  <si>
    <t>Cyber threats are managed through a Risk and Control Self-Assessment process with risk scoring and a centralised risk register.</t>
  </si>
  <si>
    <t xml:space="preserve"> </t>
  </si>
  <si>
    <t>Vendor risk is assessed against operational-resilience standards; acquisition-related cyber risk is acknowledged.</t>
  </si>
  <si>
    <t>printed p.48, 165</t>
  </si>
  <si>
    <t>Authorised-access risks are referenced; detailed identity/access-management is not disclosed.</t>
  </si>
  <si>
    <t>printed p.47</t>
  </si>
  <si>
    <t>The programme protects the confidentiality, integrity and availability of technology infrastructure and customer data.</t>
  </si>
  <si>
    <t>Operational resilience is supported via vendor standards and the ERMF; no material cybersecurity incident is reported to date.</t>
  </si>
  <si>
    <t>The CISO reports on the threat landscape and a specialised team conducts continuous monitoring/validation to stay ahead of threats.</t>
  </si>
  <si>
    <t>Cybersecurity incidents are experienced in the ordinary course with none material to date; the programme covers detection and response.</t>
  </si>
  <si>
    <t>Regular technical and non-technical assessments are managed by internal and external independent parties; threat-led penetration testing is not separately named.</t>
  </si>
  <si>
    <t>The CISO reports security metrics to the Risk Committee and high-rated residual risks are escalated; an Operational Risk Committee prioritises security risk.</t>
  </si>
  <si>
    <t>The specialised security/financial-crime team receives continuous training; organisation-wide security-awareness training is not separately detailed.</t>
  </si>
  <si>
    <t>Internal Audit covers IT and security, external independent assessments operate and the second line provides credible challenge.</t>
  </si>
  <si>
    <t>printed p.15, 165</t>
  </si>
  <si>
    <t>The Risk Committee and Operational Risk Committee oversee cyber and (AI/ML model) risk; AI is not distinctly governed, so a single body owning both is partial.</t>
  </si>
  <si>
    <t>printed p.17, 166</t>
  </si>
  <si>
    <t>The CISO leads security and addresses AI-enabled threats; the CISO remit is not stated to include AI governance.</t>
  </si>
  <si>
    <t>printed p.47, 166</t>
  </si>
  <si>
    <t>Cyber, financial crime and AI/ML model risk are overseen together within the Risk Committee.</t>
  </si>
  <si>
    <t>Cyber risks sit in a centralised risk register and AI/ML model risk sits within the ERMF.</t>
  </si>
  <si>
    <t>printed p.53, 165</t>
  </si>
  <si>
    <t>The ERMF risk taxonomy spans cyber, financial crime and AI/ML model risk.</t>
  </si>
  <si>
    <t>AI/ML features within model risk (financial-crime detection) and AI-enabled attacks within cyber.</t>
  </si>
  <si>
    <t>printed p.47, 53</t>
  </si>
  <si>
    <t>Attacks enhanced or facilitated by AI are recognised as a security threat; specific adversarial/poisoning/exfiltration threats are not named.</t>
  </si>
  <si>
    <t>Data privacy/security and customer-data protection apply; shared AI-security data governance is not separately framed.</t>
  </si>
  <si>
    <t>AI used within cyber detection/SOC is not disclosed (ML is used for financial-crime detection, a separate domain).</t>
  </si>
  <si>
    <t>Vendor risk management operates; a unified AI+ICT third-party assessment is not disclosed.</t>
  </si>
  <si>
    <t>Internal Audit covers IT/security/financial crime where AI/ML is used; a jointly framed AI-cyber assurance programme is not explicit.</t>
  </si>
  <si>
    <t>AI/ML legal compliance, operational resilience and financial-crime regulation are addressed; DORA and the EU AI Act are not named together.</t>
  </si>
  <si>
    <t>AI/ML and cyber are both risk-managed; an explicit board link between AI strategy and cyber resilience is not articulated.</t>
  </si>
  <si>
    <t>Unified</t>
  </si>
  <si>
    <t>5</t>
  </si>
  <si>
    <t>A shared mechanism is operating (e.g. one committee, one risk register covering both).</t>
  </si>
  <si>
    <t>Integrated</t>
  </si>
  <si>
    <t>4</t>
  </si>
  <si>
    <t>An explicit linkage is described on this dimension (e.g. AI named within the cyber policy).</t>
  </si>
  <si>
    <t>Coordinated</t>
  </si>
  <si>
    <t>3</t>
  </si>
  <si>
    <t>Both are present and occasionally cross-referenced, but no shared mechanism exists.</t>
  </si>
  <si>
    <t>Aware</t>
  </si>
  <si>
    <t>2</t>
  </si>
  <si>
    <t>AI and cyber governance are handled separately, with no cross-reference between them.</t>
  </si>
  <si>
    <t>Siloed</t>
  </si>
  <si>
    <t>1</t>
  </si>
  <si>
    <t>Label</t>
  </si>
  <si>
    <t>Level</t>
  </si>
  <si>
    <t>Linkage scale — Integration (INT)</t>
  </si>
  <si>
    <t>Independently assured or benchmarked, reviewed, and continuously improved (e.g. external audit / certification).</t>
  </si>
  <si>
    <t>Optimising</t>
  </si>
  <si>
    <t>Owned and resourced; named accountability, cadence, metrics, or evidence the activity actually operates.</t>
  </si>
  <si>
    <t>Managed</t>
  </si>
  <si>
    <t>A specific policy, structure or process is described, documented and applied organisation-wide.</t>
  </si>
  <si>
    <t>Defined</t>
  </si>
  <si>
    <t>Acknowledged in generic terms; referenced but with no specifics, owners, or evidence it operates. Informal.</t>
  </si>
  <si>
    <t>Developing</t>
  </si>
  <si>
    <t>Initial</t>
  </si>
  <si>
    <t>Maturity scale — AI Governance (AIG) and Cyber Governance (CYG)</t>
  </si>
  <si>
    <t>Scoring Rubrics</t>
  </si>
  <si>
    <t>Definition</t>
  </si>
  <si>
    <t>Date</t>
  </si>
  <si>
    <t>Notes</t>
  </si>
  <si>
    <t>Firm</t>
  </si>
  <si>
    <t>Cyber</t>
  </si>
  <si>
    <t>Integration</t>
  </si>
  <si>
    <t>HSBC</t>
  </si>
  <si>
    <t>Barclays</t>
  </si>
  <si>
    <t>Lloyds</t>
  </si>
  <si>
    <t>Aviva</t>
  </si>
  <si>
    <t>Legal &amp; General</t>
  </si>
  <si>
    <t>Prudential</t>
  </si>
  <si>
    <t>3i Group</t>
  </si>
  <si>
    <t>M &amp; G</t>
  </si>
  <si>
    <t>Schroders</t>
  </si>
  <si>
    <t>LSEG</t>
  </si>
  <si>
    <t>Experian</t>
  </si>
  <si>
    <t>Wise</t>
  </si>
  <si>
    <t>Detect &amp; Response</t>
  </si>
  <si>
    <t>Bank</t>
  </si>
  <si>
    <t>Financial Management</t>
  </si>
  <si>
    <t>BARCLAYS</t>
  </si>
  <si>
    <t>LG</t>
  </si>
  <si>
    <t>3i</t>
  </si>
  <si>
    <t>MG</t>
  </si>
  <si>
    <t>Mean</t>
  </si>
  <si>
    <t>Average Integration score</t>
  </si>
  <si>
    <t>Cybersecurity Indicators</t>
  </si>
  <si>
    <t>AI Pillars</t>
  </si>
  <si>
    <t xml:space="preserve">Board / committee oversight of AI with a named senior owner </t>
  </si>
  <si>
    <t>Documented AI Risk assessment</t>
  </si>
  <si>
    <t>Lifecyle &amp; Data</t>
  </si>
  <si>
    <t>AI Indicators</t>
  </si>
  <si>
    <t xml:space="preserve"> Cyber Indicators</t>
  </si>
  <si>
    <t>Integration Indicators</t>
  </si>
  <si>
    <t>Firms&gt;=3</t>
  </si>
  <si>
    <t>Firms &gt;=4</t>
  </si>
  <si>
    <t>Ingration Score Mean As Per Dimensions</t>
  </si>
  <si>
    <t>SD</t>
  </si>
  <si>
    <t>Min</t>
  </si>
  <si>
    <t>Max</t>
  </si>
  <si>
    <t>Absent or ad hoc - the governance activity is not mentioned, or appears only in passing with no substance.</t>
  </si>
  <si>
    <t>The two domains are fully fused on this dimension: jointly governed, jointly assured, continuously improved.</t>
  </si>
  <si>
    <t>Descriptive Statistic for Disclosed Governance Maturity Model</t>
  </si>
  <si>
    <t>AI Governance</t>
  </si>
  <si>
    <t>Indicators</t>
  </si>
  <si>
    <t>Supporting Framework(s)</t>
  </si>
  <si>
    <t>Regulatory Anchor</t>
  </si>
  <si>
    <t>NIST AI RMF Govern 1.2 &amp; 1.4; ISO 42001:2023 Cl.5.2, Annex A.2</t>
  </si>
  <si>
    <t>NIST AI RMF Govern 2.1 &amp; 2.3; ISO 42001:2023 Cl.5.3</t>
  </si>
  <si>
    <t>FCA/PRA Senior Manager Regime</t>
  </si>
  <si>
    <t>NIST AI RMF Govern 2.1 &amp; 2.2; ISO 42001:2023 Cl.5.3, Annex A.3.2</t>
  </si>
  <si>
    <t>––</t>
  </si>
  <si>
    <t>PRA SS1/23 - Model Risk Management</t>
  </si>
  <si>
    <t>NIST AI RMF Govern 1.6; ISO 42001:2023 Annex A.4</t>
  </si>
  <si>
    <t>NIST AI RMF Map 4; ISO 42001:2023 Annex A.7</t>
  </si>
  <si>
    <t>ISO 42001:2023 Cl.6.1.4</t>
  </si>
  <si>
    <t>NIST AI RMF Section 3.7 &amp; Measure 2</t>
  </si>
  <si>
    <t>NIST AI RMF Section 3.4 &amp; 3.5, Measure 2.8, 2,9 &amp; 2.11; ISO 42001:2023 Annex A.8</t>
  </si>
  <si>
    <t>NIST AI RMF Govern 6 &amp; Manage 3.1; ISO 42001:2023 Annex A.10</t>
  </si>
  <si>
    <t>NIST AI RMF Measure; ISO 42001:2023 Cl.9.1</t>
  </si>
  <si>
    <t>NIST AI RMF Govern 4.3 &amp; Manage 4.3</t>
  </si>
  <si>
    <t>NIST AI RMF Measure 1.3; ISO 42001:2023 Cl.9.2, 9.3, 10.1</t>
  </si>
  <si>
    <t>Cybersecurity Governance</t>
  </si>
  <si>
    <t>NIST CSF GV.PO; ISO 27001:2022 Cl.5.2</t>
  </si>
  <si>
    <t>NIST CSF GV.RR; ISO 27001:2022 Cl.5.3</t>
  </si>
  <si>
    <t>NIST CSF GV.RM; ISO 27001:2022 Cl.6.1</t>
  </si>
  <si>
    <t>NIST CSF ID.RA; ISO 27001:2022  Cl.6.1.2</t>
  </si>
  <si>
    <t>NIST CSF ID.AM; ISO 27001:2022 Annex A.5.9</t>
  </si>
  <si>
    <t>NIST CSF GV.SC; ISO 27001:2022 Annex A.5.21</t>
  </si>
  <si>
    <t>NIST CSF PR.DS; ISO 27001:2022 Annex A.7.12, 7.14, 8.11, &amp; 8.12</t>
  </si>
  <si>
    <t>NIST CSF RC; ISO 27001:2022 Annex A.5.29 &amp; A.5.30</t>
  </si>
  <si>
    <t>NIST CSF DE.CM; ISO 27001:2022 Cl.9.1, Annex A.8.16</t>
  </si>
  <si>
    <t>NIST CSF RS ; ISO 27001:2022 Annex A.5.24</t>
  </si>
  <si>
    <t>NIST CSF ID.RA &amp; DE; ISO 27001:2022 Annex A.8.34</t>
  </si>
  <si>
    <t>NIST CSF 2.0 GV / DE.CM; ISO 27001 Cl.9.1</t>
  </si>
  <si>
    <t>NIST CSF 2.0 PR.AT; ISO 27001 Cl.7.2, Cl.7.3 &amp; Annex A.6.3</t>
  </si>
  <si>
    <t>NIST CSF 2.0 GV.OV; ISO 27001 Cl.9.2, 9.3</t>
  </si>
  <si>
    <t>NIST AI RMF Govern 2.1 + NIST CSF GV.RR</t>
  </si>
  <si>
    <t>NIST AI RMF Govern 2.3 + NIST CSF GV.RR</t>
  </si>
  <si>
    <t>NIST AI RMF Govern 4.2 +  NIST CSF GV.OV</t>
  </si>
  <si>
    <t>NIST AI RMF Section 1.2.4 + NIST CSF GV.RM</t>
  </si>
  <si>
    <t>Governance-Level Expectation</t>
  </si>
  <si>
    <t>PRA SS1/23 - Model Risk Management + CSF Risk Management</t>
  </si>
  <si>
    <t>NIST AI RMF Map 4,  Manage + NIST CSF PR, Section 3.3</t>
  </si>
  <si>
    <t xml:space="preserve">NIST AI RMF Section 3.3 + Appendix B + NIST CSF  PR, DE, RS </t>
  </si>
  <si>
    <t>ISO 27001:2022 Annex A.7.12, 7.14, 8.11, &amp; 8.12 +  ISO 42001:2023 Annex A.7</t>
  </si>
  <si>
    <t>NIST CSF RS ; ISO 27001:2022 Annex A.5.24 + NIST AI RMF Govern 4.3 &amp; Manage 4.3</t>
  </si>
  <si>
    <t>NIST CSF RS &amp; DE</t>
  </si>
  <si>
    <t>NIST AI RMF Govern 6 &amp; Manage 3.1; ISO 42001:2023 Annex A.10 + NIST CSF GV.SC</t>
  </si>
  <si>
    <t>NIST AI RMF Measure 1.3; ISO 42001:2023 Cl.9.2, 9.3, 10.1 + NIST CSF 2.0 GV.OV; ISO 27001 Cl.9.2, 9.3</t>
  </si>
  <si>
    <t xml:space="preserve"> NIST CSF RC; ISO 27001:2022 Annex A.5.29 &amp; A.5.30 + NIST AI RMF Measure 1.3</t>
  </si>
  <si>
    <t>NIST AI RMF Govern 1 + NIST CSF  GV.OC</t>
  </si>
  <si>
    <t>NIST AI RMF Govern 1.3, Manage 1 &amp; Map 1.3; ISO 42001:2023 Cl.6.1.2</t>
  </si>
  <si>
    <t>NIST AI RMF Map, Measure &amp; Manage 4.1; ISO 42001:2023 Annex A.6</t>
  </si>
  <si>
    <t>NIST CSF PR.AA; ISO 27001:2022 Annex A.5.15 – 5.18 &amp; Annex 8.5 &amp; 8.11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</si>
</sst>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(0.00\);\-"/>
  </numFmts>
  <fonts count="28" x14ac:knownFonts="1">
    <font>
      <sz val="12"/>
      <color theme="1"/>
      <name val="Aptos Narrow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b/>
      <sz val="11"/>
      <color rgb="FF0F2433"/>
      <name val="Arial"/>
      <family val="2"/>
      <charset val="1"/>
    </font>
    <font>
      <b/>
      <sz val="10"/>
      <color rgb="FF1D9E75"/>
      <name val="Arial"/>
      <family val="2"/>
      <charset val="1"/>
    </font>
    <font>
      <b/>
      <sz val="10"/>
      <color rgb="FF185FA5"/>
      <name val="Arial"/>
      <family val="2"/>
      <charset val="1"/>
    </font>
    <font>
      <b/>
      <sz val="10"/>
      <color rgb="FFC0532E"/>
      <name val="Arial"/>
      <family val="2"/>
      <charset val="1"/>
    </font>
    <font>
      <b/>
      <sz val="10"/>
      <color rgb="FF0F2433"/>
      <name val="Arial"/>
      <family val="2"/>
      <charset val="1"/>
    </font>
    <font>
      <i/>
      <sz val="8"/>
      <color rgb="FF5F5E5A"/>
      <name val="Arial"/>
      <family val="2"/>
      <charset val="1"/>
    </font>
    <font>
      <b/>
      <sz val="10"/>
      <color rgb="FFFFFFFF"/>
      <name val="Arial"/>
      <family val="2"/>
    </font>
    <font>
      <b/>
      <sz val="9"/>
      <color rgb="FFC00000"/>
      <name val="Aptos Narrow"/>
    </font>
    <font>
      <sz val="9"/>
      <name val="Arial"/>
      <family val="2"/>
    </font>
    <font>
      <sz val="11"/>
      <color theme="1"/>
      <name val="Calibri"/>
      <family val="2"/>
      <charset val="1"/>
    </font>
    <font>
      <i/>
      <sz val="9"/>
      <color rgb="FF5F5E5A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F2433"/>
      <name val="Arial"/>
      <family val="2"/>
    </font>
    <font>
      <b/>
      <sz val="12"/>
      <color theme="1"/>
      <name val="Aptos Narrow"/>
    </font>
    <font>
      <b/>
      <sz val="11"/>
      <color theme="1"/>
      <name val="Calibri"/>
      <family val="2"/>
    </font>
    <font>
      <sz val="9"/>
      <color rgb="FF000000"/>
      <name val="Arial"/>
      <family val="2"/>
    </font>
    <font>
      <sz val="10"/>
      <color theme="1"/>
      <name val="Arial Unicode MS"/>
      <family val="2"/>
    </font>
    <font>
      <sz val="8"/>
      <name val="Aptos Narrow"/>
      <family val="2"/>
      <charset val="1"/>
    </font>
    <font>
      <sz val="11"/>
      <color theme="9" tint="-0.249977111117893"/>
      <name val="Calibri"/>
      <family val="2"/>
      <charset val="1"/>
    </font>
    <font>
      <b/>
      <sz val="11"/>
      <color theme="9" tint="-0.249977111117893"/>
      <name val="Arial"/>
      <family val="2"/>
    </font>
    <font>
      <b/>
      <sz val="11"/>
      <color rgb="FFC00000"/>
      <name val="Arial"/>
      <family val="2"/>
    </font>
    <font>
      <sz val="9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A4D"/>
        <bgColor rgb="FF0F2433"/>
      </patternFill>
    </fill>
    <fill>
      <patternFill patternType="solid">
        <fgColor rgb="FFFFFEF2"/>
        <bgColor rgb="FFFFFFFF"/>
      </patternFill>
    </fill>
    <fill>
      <patternFill patternType="solid">
        <fgColor rgb="FFDCEFE8"/>
        <bgColor rgb="FFDBE8F7"/>
      </patternFill>
    </fill>
    <fill>
      <patternFill patternType="solid">
        <fgColor rgb="FFDBE8F7"/>
        <bgColor rgb="FFDCEFE8"/>
      </patternFill>
    </fill>
    <fill>
      <patternFill patternType="solid">
        <fgColor rgb="FFF7E1D8"/>
        <bgColor rgb="FFF1EFE8"/>
      </patternFill>
    </fill>
    <fill>
      <patternFill patternType="solid">
        <fgColor rgb="FFF1EFE8"/>
        <bgColor rgb="FFFFF8E6"/>
      </patternFill>
    </fill>
    <fill>
      <patternFill patternType="solid">
        <fgColor rgb="FFFFF1CC"/>
        <bgColor rgb="FFFFF8E6"/>
      </patternFill>
    </fill>
    <fill>
      <patternFill patternType="solid">
        <fgColor rgb="FFFFF8E6"/>
        <bgColor rgb="FFFFFEF2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C9C7BE"/>
      </left>
      <right/>
      <top style="thin">
        <color rgb="FFC9C7BE"/>
      </top>
      <bottom style="thin">
        <color rgb="FFC9C7BE"/>
      </bottom>
      <diagonal/>
    </border>
    <border>
      <left style="thin">
        <color rgb="FFC9C7BE"/>
      </left>
      <right style="thin">
        <color rgb="FFC9C7BE"/>
      </right>
      <top style="thin">
        <color rgb="FFC9C7BE"/>
      </top>
      <bottom style="thin">
        <color rgb="FFC9C7BE"/>
      </bottom>
      <diagonal/>
    </border>
    <border>
      <left/>
      <right/>
      <top style="thin">
        <color rgb="FFC9C7BE"/>
      </top>
      <bottom style="thin">
        <color rgb="FFC9C7B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9C7BE"/>
      </left>
      <right style="thin">
        <color rgb="FFC9C7BE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2" xfId="0" applyFill="1" applyBorder="1" applyAlignment="1">
      <alignment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5" fillId="0" borderId="0" xfId="0" applyFont="1"/>
    <xf numFmtId="0" fontId="6" fillId="0" borderId="0" xfId="0" applyFont="1"/>
    <xf numFmtId="2" fontId="1" fillId="7" borderId="2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164" fontId="1" fillId="8" borderId="2" xfId="0" applyNumberFormat="1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164" fontId="4" fillId="9" borderId="2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1" fillId="10" borderId="0" xfId="0" applyFont="1" applyFill="1" applyAlignment="1">
      <alignment vertical="top" wrapText="1"/>
    </xf>
    <xf numFmtId="0" fontId="13" fillId="11" borderId="4" xfId="0" applyFont="1" applyFill="1" applyBorder="1" applyAlignment="1">
      <alignment horizontal="left" vertical="top" wrapText="1"/>
    </xf>
    <xf numFmtId="0" fontId="13" fillId="12" borderId="4" xfId="0" applyFont="1" applyFill="1" applyBorder="1" applyAlignment="1">
      <alignment horizontal="left" vertical="top" wrapText="1"/>
    </xf>
    <xf numFmtId="0" fontId="14" fillId="0" borderId="0" xfId="1"/>
    <xf numFmtId="0" fontId="16" fillId="0" borderId="2" xfId="1" applyFont="1" applyBorder="1" applyAlignment="1">
      <alignment vertical="top" wrapText="1"/>
    </xf>
    <xf numFmtId="0" fontId="17" fillId="0" borderId="2" xfId="1" applyFont="1" applyBorder="1" applyAlignment="1">
      <alignment vertical="top" wrapText="1"/>
    </xf>
    <xf numFmtId="0" fontId="11" fillId="2" borderId="2" xfId="1" applyFont="1" applyFill="1" applyBorder="1" applyAlignment="1">
      <alignment horizontal="center" vertical="center" wrapText="1"/>
    </xf>
    <xf numFmtId="0" fontId="18" fillId="0" borderId="0" xfId="1" applyFont="1"/>
    <xf numFmtId="0" fontId="19" fillId="0" borderId="5" xfId="0" applyFont="1" applyBorder="1" applyAlignment="1">
      <alignment horizontal="center"/>
    </xf>
    <xf numFmtId="0" fontId="0" fillId="0" borderId="5" xfId="0" applyBorder="1"/>
    <xf numFmtId="2" fontId="0" fillId="0" borderId="5" xfId="0" applyNumberFormat="1" applyBorder="1"/>
    <xf numFmtId="0" fontId="0" fillId="13" borderId="5" xfId="0" applyFill="1" applyBorder="1"/>
    <xf numFmtId="0" fontId="0" fillId="14" borderId="5" xfId="0" applyFill="1" applyBorder="1"/>
    <xf numFmtId="0" fontId="0" fillId="15" borderId="5" xfId="0" applyFill="1" applyBorder="1"/>
    <xf numFmtId="0" fontId="0" fillId="16" borderId="5" xfId="0" applyFill="1" applyBorder="1"/>
    <xf numFmtId="0" fontId="4" fillId="0" borderId="0" xfId="0" applyFont="1" applyAlignment="1">
      <alignment vertical="top" wrapText="1"/>
    </xf>
    <xf numFmtId="0" fontId="19" fillId="0" borderId="0" xfId="0" applyFont="1"/>
    <xf numFmtId="0" fontId="19" fillId="0" borderId="5" xfId="0" applyFont="1" applyBorder="1"/>
    <xf numFmtId="0" fontId="4" fillId="0" borderId="6" xfId="0" applyFont="1" applyBorder="1" applyAlignment="1">
      <alignment vertical="top" wrapText="1"/>
    </xf>
    <xf numFmtId="0" fontId="21" fillId="0" borderId="5" xfId="0" applyFont="1" applyBorder="1" applyAlignment="1">
      <alignment vertical="top" wrapText="1"/>
    </xf>
    <xf numFmtId="0" fontId="21" fillId="0" borderId="7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21" fillId="0" borderId="8" xfId="0" applyFont="1" applyBorder="1" applyAlignment="1">
      <alignment vertical="top" wrapText="1"/>
    </xf>
    <xf numFmtId="0" fontId="20" fillId="17" borderId="0" xfId="0" applyFont="1" applyFill="1" applyAlignment="1">
      <alignment horizontal="center"/>
    </xf>
    <xf numFmtId="0" fontId="19" fillId="17" borderId="0" xfId="0" applyFont="1" applyFill="1"/>
    <xf numFmtId="0" fontId="0" fillId="17" borderId="0" xfId="0" applyFill="1"/>
    <xf numFmtId="0" fontId="19" fillId="14" borderId="7" xfId="0" applyFont="1" applyFill="1" applyBorder="1" applyAlignment="1">
      <alignment horizontal="center" vertical="center"/>
    </xf>
    <xf numFmtId="0" fontId="22" fillId="14" borderId="8" xfId="0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center" vertical="center"/>
    </xf>
    <xf numFmtId="0" fontId="22" fillId="14" borderId="7" xfId="0" applyFont="1" applyFill="1" applyBorder="1" applyAlignment="1">
      <alignment horizontal="center" vertical="center"/>
    </xf>
    <xf numFmtId="0" fontId="22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9" fillId="15" borderId="7" xfId="0" applyFont="1" applyFill="1" applyBorder="1" applyAlignment="1">
      <alignment horizontal="center" vertical="center"/>
    </xf>
    <xf numFmtId="0" fontId="22" fillId="15" borderId="8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center" vertical="center"/>
    </xf>
    <xf numFmtId="0" fontId="22" fillId="15" borderId="7" xfId="0" applyFont="1" applyFill="1" applyBorder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9" fillId="18" borderId="7" xfId="0" applyFont="1" applyFill="1" applyBorder="1" applyAlignment="1">
      <alignment horizontal="center" vertical="center"/>
    </xf>
    <xf numFmtId="0" fontId="22" fillId="18" borderId="8" xfId="0" applyFont="1" applyFill="1" applyBorder="1" applyAlignment="1">
      <alignment horizontal="center" vertical="center"/>
    </xf>
    <xf numFmtId="0" fontId="22" fillId="18" borderId="5" xfId="0" applyFont="1" applyFill="1" applyBorder="1" applyAlignment="1">
      <alignment horizontal="center" vertical="center"/>
    </xf>
    <xf numFmtId="0" fontId="22" fillId="18" borderId="7" xfId="0" applyFont="1" applyFill="1" applyBorder="1" applyAlignment="1">
      <alignment horizontal="center" vertical="center"/>
    </xf>
    <xf numFmtId="0" fontId="22" fillId="18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19" fillId="16" borderId="7" xfId="0" applyFont="1" applyFill="1" applyBorder="1" applyAlignment="1">
      <alignment horizontal="center" vertical="center"/>
    </xf>
    <xf numFmtId="0" fontId="22" fillId="16" borderId="8" xfId="0" applyFont="1" applyFill="1" applyBorder="1" applyAlignment="1">
      <alignment horizontal="center" vertical="center"/>
    </xf>
    <xf numFmtId="0" fontId="22" fillId="16" borderId="5" xfId="0" applyFont="1" applyFill="1" applyBorder="1" applyAlignment="1">
      <alignment horizontal="center" vertical="center"/>
    </xf>
    <xf numFmtId="0" fontId="22" fillId="16" borderId="7" xfId="0" applyFont="1" applyFill="1" applyBorder="1" applyAlignment="1">
      <alignment horizontal="center" vertical="center"/>
    </xf>
    <xf numFmtId="0" fontId="22" fillId="16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9" fillId="16" borderId="9" xfId="0" applyFont="1" applyFill="1" applyBorder="1" applyAlignment="1">
      <alignment horizontal="center" vertical="center"/>
    </xf>
    <xf numFmtId="0" fontId="10" fillId="0" borderId="0" xfId="0" applyFont="1" applyAlignment="1">
      <alignment vertical="top" wrapText="1"/>
    </xf>
    <xf numFmtId="0" fontId="0" fillId="0" borderId="9" xfId="0" applyBorder="1"/>
    <xf numFmtId="0" fontId="19" fillId="0" borderId="0" xfId="0" applyFont="1" applyAlignment="1">
      <alignment horizontal="center"/>
    </xf>
    <xf numFmtId="0" fontId="15" fillId="0" borderId="0" xfId="1" applyFont="1" applyAlignment="1">
      <alignment vertical="top" wrapText="1"/>
    </xf>
    <xf numFmtId="0" fontId="0" fillId="3" borderId="1" xfId="0" applyFill="1" applyBorder="1"/>
    <xf numFmtId="0" fontId="0" fillId="0" borderId="3" xfId="0" applyBorder="1"/>
    <xf numFmtId="0" fontId="10" fillId="0" borderId="0" xfId="0" applyFont="1" applyAlignment="1">
      <alignment vertical="top" wrapText="1"/>
    </xf>
    <xf numFmtId="0" fontId="0" fillId="0" borderId="0" xfId="0"/>
    <xf numFmtId="0" fontId="24" fillId="0" borderId="0" xfId="1" applyFont="1"/>
    <xf numFmtId="0" fontId="25" fillId="0" borderId="0" xfId="1" applyFont="1"/>
    <xf numFmtId="0" fontId="26" fillId="0" borderId="0" xfId="1" applyFont="1"/>
    <xf numFmtId="0" fontId="14" fillId="0" borderId="5" xfId="1" applyBorder="1"/>
    <xf numFmtId="0" fontId="19" fillId="0" borderId="0" xfId="0" applyFont="1" applyFill="1" applyBorder="1" applyAlignment="1">
      <alignment horizontal="center"/>
    </xf>
    <xf numFmtId="0" fontId="19" fillId="16" borderId="5" xfId="0" applyFont="1" applyFill="1" applyBorder="1"/>
    <xf numFmtId="0" fontId="0" fillId="0" borderId="0" xfId="0" applyAlignment="1"/>
    <xf numFmtId="0" fontId="20" fillId="0" borderId="5" xfId="1" applyFont="1" applyBorder="1" applyAlignment="1">
      <alignment horizontal="center"/>
    </xf>
    <xf numFmtId="0" fontId="20" fillId="0" borderId="5" xfId="1" applyFont="1" applyBorder="1" applyAlignment="1">
      <alignment horizontal="center"/>
    </xf>
    <xf numFmtId="0" fontId="20" fillId="0" borderId="5" xfId="1" applyFont="1" applyBorder="1" applyAlignment="1">
      <alignment horizontal="center" wrapText="1"/>
    </xf>
    <xf numFmtId="0" fontId="27" fillId="0" borderId="5" xfId="1" applyFont="1" applyBorder="1"/>
    <xf numFmtId="0" fontId="21" fillId="0" borderId="5" xfId="1" applyFont="1" applyBorder="1" applyAlignment="1">
      <alignment vertical="top" wrapText="1"/>
    </xf>
    <xf numFmtId="0" fontId="27" fillId="0" borderId="5" xfId="1" applyFont="1" applyBorder="1" applyAlignment="1">
      <alignment wrapText="1"/>
    </xf>
    <xf numFmtId="0" fontId="14" fillId="0" borderId="5" xfId="1" applyBorder="1" applyAlignment="1">
      <alignment wrapText="1"/>
    </xf>
    <xf numFmtId="0" fontId="14" fillId="0" borderId="0" xfId="1" applyAlignment="1">
      <alignment wrapText="1"/>
    </xf>
    <xf numFmtId="0" fontId="27" fillId="0" borderId="5" xfId="0" applyFont="1" applyBorder="1" applyAlignment="1">
      <alignment wrapText="1"/>
    </xf>
  </cellXfs>
  <cellStyles count="2">
    <cellStyle name="Normal" xfId="0" builtinId="0"/>
    <cellStyle name="Normal 2" xfId="1" xr:uid="{65462F5D-3BA5-3543-849C-E566A137210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7BE"/>
      <rgbColor rgb="FF808080"/>
      <rgbColor rgb="FF9999FF"/>
      <rgbColor rgb="FF993366"/>
      <rgbColor rgb="FFFFF8E6"/>
      <rgbColor rgb="FFDCEFE8"/>
      <rgbColor rgb="FF660066"/>
      <rgbColor rgb="FFFF8080"/>
      <rgbColor rgb="FF185FA5"/>
      <rgbColor rgb="FFFFFE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8F7"/>
      <rgbColor rgb="FFF1EFE8"/>
      <rgbColor rgb="FFFFF1CC"/>
      <rgbColor rgb="FF99CCFF"/>
      <rgbColor rgb="FFFF99CC"/>
      <rgbColor rgb="FFCC99FF"/>
      <rgbColor rgb="FFF7E1D8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F2433"/>
      <rgbColor rgb="FF1D9E75"/>
      <rgbColor rgb="FF003300"/>
      <rgbColor rgb="FF333300"/>
      <rgbColor rgb="FFC0532E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Disclosed AI and Cybersecurity Governance &amp; Disclosed Integration Governance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0457557566780298E-2"/>
          <c:y val="0.10287112169231273"/>
          <c:w val="0.9197404622351999"/>
          <c:h val="0.844770714340319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Worksheet!$A$2:$A$13</c:f>
              <c:strCache>
                <c:ptCount val="12"/>
                <c:pt idx="0">
                  <c:v>HSBC</c:v>
                </c:pt>
                <c:pt idx="1">
                  <c:v>Barclays</c:v>
                </c:pt>
                <c:pt idx="2">
                  <c:v>Lloyds</c:v>
                </c:pt>
                <c:pt idx="3">
                  <c:v>Aviva</c:v>
                </c:pt>
                <c:pt idx="4">
                  <c:v>Legal &amp; General</c:v>
                </c:pt>
                <c:pt idx="5">
                  <c:v>Prudential</c:v>
                </c:pt>
                <c:pt idx="6">
                  <c:v>3i Group</c:v>
                </c:pt>
                <c:pt idx="7">
                  <c:v>M &amp; G</c:v>
                </c:pt>
                <c:pt idx="8">
                  <c:v>Schroders</c:v>
                </c:pt>
                <c:pt idx="9">
                  <c:v>LSEG</c:v>
                </c:pt>
                <c:pt idx="10">
                  <c:v>Experian</c:v>
                </c:pt>
                <c:pt idx="11">
                  <c:v>Wise</c:v>
                </c:pt>
              </c:strCache>
            </c:strRef>
          </c:cat>
          <c:val>
            <c:numRef>
              <c:f>Worksheet!$B$2:$B$13</c:f>
              <c:numCache>
                <c:formatCode>0.00</c:formatCode>
                <c:ptCount val="12"/>
                <c:pt idx="0">
                  <c:v>2.8</c:v>
                </c:pt>
                <c:pt idx="1">
                  <c:v>3</c:v>
                </c:pt>
                <c:pt idx="2">
                  <c:v>3</c:v>
                </c:pt>
                <c:pt idx="3">
                  <c:v>1.8</c:v>
                </c:pt>
                <c:pt idx="4">
                  <c:v>2.6</c:v>
                </c:pt>
                <c:pt idx="5">
                  <c:v>3</c:v>
                </c:pt>
                <c:pt idx="6">
                  <c:v>1.2666666666666666</c:v>
                </c:pt>
                <c:pt idx="7">
                  <c:v>2.3333333333333335</c:v>
                </c:pt>
                <c:pt idx="8">
                  <c:v>2.8</c:v>
                </c:pt>
                <c:pt idx="9">
                  <c:v>2.3333333333333335</c:v>
                </c:pt>
                <c:pt idx="10">
                  <c:v>3.2</c:v>
                </c:pt>
                <c:pt idx="11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7-E041-9979-3EECC2204C6F}"/>
            </c:ext>
          </c:extLst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Cyber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Worksheet!$A$2:$A$13</c:f>
              <c:strCache>
                <c:ptCount val="12"/>
                <c:pt idx="0">
                  <c:v>HSBC</c:v>
                </c:pt>
                <c:pt idx="1">
                  <c:v>Barclays</c:v>
                </c:pt>
                <c:pt idx="2">
                  <c:v>Lloyds</c:v>
                </c:pt>
                <c:pt idx="3">
                  <c:v>Aviva</c:v>
                </c:pt>
                <c:pt idx="4">
                  <c:v>Legal &amp; General</c:v>
                </c:pt>
                <c:pt idx="5">
                  <c:v>Prudential</c:v>
                </c:pt>
                <c:pt idx="6">
                  <c:v>3i Group</c:v>
                </c:pt>
                <c:pt idx="7">
                  <c:v>M &amp; G</c:v>
                </c:pt>
                <c:pt idx="8">
                  <c:v>Schroders</c:v>
                </c:pt>
                <c:pt idx="9">
                  <c:v>LSEG</c:v>
                </c:pt>
                <c:pt idx="10">
                  <c:v>Experian</c:v>
                </c:pt>
                <c:pt idx="11">
                  <c:v>Wise</c:v>
                </c:pt>
              </c:strCache>
            </c:strRef>
          </c:cat>
          <c:val>
            <c:numRef>
              <c:f>Worksheet!$C$2:$C$13</c:f>
              <c:numCache>
                <c:formatCode>0.00</c:formatCode>
                <c:ptCount val="12"/>
                <c:pt idx="0">
                  <c:v>3.8</c:v>
                </c:pt>
                <c:pt idx="1">
                  <c:v>3.7333333333333334</c:v>
                </c:pt>
                <c:pt idx="2">
                  <c:v>2.9333333333333331</c:v>
                </c:pt>
                <c:pt idx="3">
                  <c:v>2.3333333333333335</c:v>
                </c:pt>
                <c:pt idx="4">
                  <c:v>2.7333333333333334</c:v>
                </c:pt>
                <c:pt idx="5">
                  <c:v>3.2</c:v>
                </c:pt>
                <c:pt idx="6">
                  <c:v>2.7333333333333334</c:v>
                </c:pt>
                <c:pt idx="7">
                  <c:v>2.4666666666666668</c:v>
                </c:pt>
                <c:pt idx="8">
                  <c:v>3.2666666666666666</c:v>
                </c:pt>
                <c:pt idx="9">
                  <c:v>2.9333333333333331</c:v>
                </c:pt>
                <c:pt idx="10">
                  <c:v>3.5333333333333332</c:v>
                </c:pt>
                <c:pt idx="11">
                  <c:v>3.2666666666666666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57-E041-9979-3EECC2204C6F}"/>
            </c:ext>
          </c:extLst>
        </c:ser>
        <c:ser>
          <c:idx val="2"/>
          <c:order val="2"/>
          <c:tx>
            <c:strRef>
              <c:f>Worksheet!$D$1</c:f>
              <c:strCache>
                <c:ptCount val="1"/>
                <c:pt idx="0">
                  <c:v>Integration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Worksheet!$A$2:$A$13</c:f>
              <c:strCache>
                <c:ptCount val="12"/>
                <c:pt idx="0">
                  <c:v>HSBC</c:v>
                </c:pt>
                <c:pt idx="1">
                  <c:v>Barclays</c:v>
                </c:pt>
                <c:pt idx="2">
                  <c:v>Lloyds</c:v>
                </c:pt>
                <c:pt idx="3">
                  <c:v>Aviva</c:v>
                </c:pt>
                <c:pt idx="4">
                  <c:v>Legal &amp; General</c:v>
                </c:pt>
                <c:pt idx="5">
                  <c:v>Prudential</c:v>
                </c:pt>
                <c:pt idx="6">
                  <c:v>3i Group</c:v>
                </c:pt>
                <c:pt idx="7">
                  <c:v>M &amp; G</c:v>
                </c:pt>
                <c:pt idx="8">
                  <c:v>Schroders</c:v>
                </c:pt>
                <c:pt idx="9">
                  <c:v>LSEG</c:v>
                </c:pt>
                <c:pt idx="10">
                  <c:v>Experian</c:v>
                </c:pt>
                <c:pt idx="11">
                  <c:v>Wise</c:v>
                </c:pt>
              </c:strCache>
            </c:strRef>
          </c:cat>
          <c:val>
            <c:numRef>
              <c:f>Worksheet!$D$2:$D$13</c:f>
              <c:numCache>
                <c:formatCode>0.00</c:formatCode>
                <c:ptCount val="12"/>
                <c:pt idx="0">
                  <c:v>2.5333333333333332</c:v>
                </c:pt>
                <c:pt idx="1">
                  <c:v>2.6666666666666665</c:v>
                </c:pt>
                <c:pt idx="2">
                  <c:v>2.2666666666666666</c:v>
                </c:pt>
                <c:pt idx="3">
                  <c:v>1.2666666666666666</c:v>
                </c:pt>
                <c:pt idx="4">
                  <c:v>2.0666666666666669</c:v>
                </c:pt>
                <c:pt idx="5">
                  <c:v>2.4666666666666668</c:v>
                </c:pt>
                <c:pt idx="6">
                  <c:v>1.4666666666666666</c:v>
                </c:pt>
                <c:pt idx="7">
                  <c:v>1.9333333333333333</c:v>
                </c:pt>
                <c:pt idx="8">
                  <c:v>2.2666666666666666</c:v>
                </c:pt>
                <c:pt idx="9">
                  <c:v>2.0666666666666669</c:v>
                </c:pt>
                <c:pt idx="10">
                  <c:v>2.7333333333333334</c:v>
                </c:pt>
                <c:pt idx="11">
                  <c:v>2.0666666666666669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57-E041-9979-3EECC2204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632127"/>
        <c:axId val="1602629439"/>
      </c:barChart>
      <c:catAx>
        <c:axId val="16026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602629439"/>
        <c:crosses val="autoZero"/>
        <c:auto val="1"/>
        <c:lblAlgn val="ctr"/>
        <c:lblOffset val="100"/>
        <c:noMultiLvlLbl val="0"/>
      </c:catAx>
      <c:valAx>
        <c:axId val="160262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6026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Disclosedd AI Governance and Cybersecurity Governance</a:t>
            </a:r>
            <a:r>
              <a:rPr lang="en-GB" baseline="0"/>
              <a:t> Maturity Level per firms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Worksheet!$A$2:$A$13</c:f>
              <c:strCache>
                <c:ptCount val="12"/>
                <c:pt idx="0">
                  <c:v>HSBC</c:v>
                </c:pt>
                <c:pt idx="1">
                  <c:v>Barclays</c:v>
                </c:pt>
                <c:pt idx="2">
                  <c:v>Lloyds</c:v>
                </c:pt>
                <c:pt idx="3">
                  <c:v>Aviva</c:v>
                </c:pt>
                <c:pt idx="4">
                  <c:v>Legal &amp; General</c:v>
                </c:pt>
                <c:pt idx="5">
                  <c:v>Prudential</c:v>
                </c:pt>
                <c:pt idx="6">
                  <c:v>3i Group</c:v>
                </c:pt>
                <c:pt idx="7">
                  <c:v>M &amp; G</c:v>
                </c:pt>
                <c:pt idx="8">
                  <c:v>Schroders</c:v>
                </c:pt>
                <c:pt idx="9">
                  <c:v>LSEG</c:v>
                </c:pt>
                <c:pt idx="10">
                  <c:v>Experian</c:v>
                </c:pt>
                <c:pt idx="11">
                  <c:v>Wise</c:v>
                </c:pt>
              </c:strCache>
            </c:strRef>
          </c:cat>
          <c:val>
            <c:numRef>
              <c:f>Worksheet!$B$2:$B$13</c:f>
              <c:numCache>
                <c:formatCode>0.00</c:formatCode>
                <c:ptCount val="12"/>
                <c:pt idx="0">
                  <c:v>2.8</c:v>
                </c:pt>
                <c:pt idx="1">
                  <c:v>3</c:v>
                </c:pt>
                <c:pt idx="2">
                  <c:v>3</c:v>
                </c:pt>
                <c:pt idx="3">
                  <c:v>1.8</c:v>
                </c:pt>
                <c:pt idx="4">
                  <c:v>2.6</c:v>
                </c:pt>
                <c:pt idx="5">
                  <c:v>3</c:v>
                </c:pt>
                <c:pt idx="6">
                  <c:v>1.2666666666666666</c:v>
                </c:pt>
                <c:pt idx="7">
                  <c:v>2.3333333333333335</c:v>
                </c:pt>
                <c:pt idx="8">
                  <c:v>2.8</c:v>
                </c:pt>
                <c:pt idx="9">
                  <c:v>2.3333333333333335</c:v>
                </c:pt>
                <c:pt idx="10">
                  <c:v>3.2</c:v>
                </c:pt>
                <c:pt idx="11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E-3542-98FA-78C073DC881B}"/>
            </c:ext>
          </c:extLst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Cyber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Worksheet!$A$2:$A$13</c:f>
              <c:strCache>
                <c:ptCount val="12"/>
                <c:pt idx="0">
                  <c:v>HSBC</c:v>
                </c:pt>
                <c:pt idx="1">
                  <c:v>Barclays</c:v>
                </c:pt>
                <c:pt idx="2">
                  <c:v>Lloyds</c:v>
                </c:pt>
                <c:pt idx="3">
                  <c:v>Aviva</c:v>
                </c:pt>
                <c:pt idx="4">
                  <c:v>Legal &amp; General</c:v>
                </c:pt>
                <c:pt idx="5">
                  <c:v>Prudential</c:v>
                </c:pt>
                <c:pt idx="6">
                  <c:v>3i Group</c:v>
                </c:pt>
                <c:pt idx="7">
                  <c:v>M &amp; G</c:v>
                </c:pt>
                <c:pt idx="8">
                  <c:v>Schroders</c:v>
                </c:pt>
                <c:pt idx="9">
                  <c:v>LSEG</c:v>
                </c:pt>
                <c:pt idx="10">
                  <c:v>Experian</c:v>
                </c:pt>
                <c:pt idx="11">
                  <c:v>Wise</c:v>
                </c:pt>
              </c:strCache>
            </c:strRef>
          </c:cat>
          <c:val>
            <c:numRef>
              <c:f>Worksheet!$C$2:$C$13</c:f>
              <c:numCache>
                <c:formatCode>0.00</c:formatCode>
                <c:ptCount val="12"/>
                <c:pt idx="0">
                  <c:v>3.8</c:v>
                </c:pt>
                <c:pt idx="1">
                  <c:v>3.7333333333333334</c:v>
                </c:pt>
                <c:pt idx="2">
                  <c:v>2.9333333333333331</c:v>
                </c:pt>
                <c:pt idx="3">
                  <c:v>2.3333333333333335</c:v>
                </c:pt>
                <c:pt idx="4">
                  <c:v>2.7333333333333334</c:v>
                </c:pt>
                <c:pt idx="5">
                  <c:v>3.2</c:v>
                </c:pt>
                <c:pt idx="6">
                  <c:v>2.7333333333333334</c:v>
                </c:pt>
                <c:pt idx="7">
                  <c:v>2.4666666666666668</c:v>
                </c:pt>
                <c:pt idx="8">
                  <c:v>3.2666666666666666</c:v>
                </c:pt>
                <c:pt idx="9">
                  <c:v>2.9333333333333331</c:v>
                </c:pt>
                <c:pt idx="10">
                  <c:v>3.5333333333333332</c:v>
                </c:pt>
                <c:pt idx="11">
                  <c:v>3.2666666666666666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E-3542-98FA-78C073DC8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424063"/>
        <c:axId val="1604426303"/>
      </c:barChart>
      <c:catAx>
        <c:axId val="160442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604426303"/>
        <c:crosses val="autoZero"/>
        <c:auto val="1"/>
        <c:lblAlgn val="ctr"/>
        <c:lblOffset val="100"/>
        <c:noMultiLvlLbl val="0"/>
      </c:catAx>
      <c:valAx>
        <c:axId val="160442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60442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800"/>
              <a:t>Disclosed AI and Cybersecurity Governance &amp; Integration </a:t>
            </a:r>
            <a:r>
              <a:rPr lang="en-GB" sz="800" baseline="0"/>
              <a:t> </a:t>
            </a:r>
            <a:r>
              <a:rPr lang="en-GB" sz="800"/>
              <a:t>Variation</a:t>
            </a:r>
            <a:r>
              <a:rPr lang="en-GB" sz="800" baseline="0"/>
              <a:t> Between Sub-sectors</a:t>
            </a:r>
            <a:endParaRPr lang="en-GB" sz="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Worksheet!$Q$1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Worksheet!$P$2:$P$5</c:f>
              <c:strCache>
                <c:ptCount val="4"/>
                <c:pt idx="0">
                  <c:v>Bank</c:v>
                </c:pt>
                <c:pt idx="1">
                  <c:v>Insurance</c:v>
                </c:pt>
                <c:pt idx="2">
                  <c:v>Asset Management</c:v>
                </c:pt>
                <c:pt idx="3">
                  <c:v>Financial Management</c:v>
                </c:pt>
              </c:strCache>
            </c:strRef>
          </c:cat>
          <c:val>
            <c:numRef>
              <c:f>Worksheet!$Q$2:$Q$5</c:f>
              <c:numCache>
                <c:formatCode>General</c:formatCode>
                <c:ptCount val="4"/>
                <c:pt idx="0" formatCode="0.00">
                  <c:v>2.9333333333333336</c:v>
                </c:pt>
                <c:pt idx="1">
                  <c:v>2.4700000000000002</c:v>
                </c:pt>
                <c:pt idx="2">
                  <c:v>2.13</c:v>
                </c:pt>
                <c:pt idx="3">
                  <c:v>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7-B843-93B2-EFD4D6D4CBE3}"/>
            </c:ext>
          </c:extLst>
        </c:ser>
        <c:ser>
          <c:idx val="1"/>
          <c:order val="1"/>
          <c:tx>
            <c:strRef>
              <c:f>Worksheet!$R$1</c:f>
              <c:strCache>
                <c:ptCount val="1"/>
                <c:pt idx="0">
                  <c:v>Cyber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Worksheet!$P$2:$P$5</c:f>
              <c:strCache>
                <c:ptCount val="4"/>
                <c:pt idx="0">
                  <c:v>Bank</c:v>
                </c:pt>
                <c:pt idx="1">
                  <c:v>Insurance</c:v>
                </c:pt>
                <c:pt idx="2">
                  <c:v>Asset Management</c:v>
                </c:pt>
                <c:pt idx="3">
                  <c:v>Financial Management</c:v>
                </c:pt>
              </c:strCache>
            </c:strRef>
          </c:cat>
          <c:val>
            <c:numRef>
              <c:f>Worksheet!$R$2:$R$5</c:f>
              <c:numCache>
                <c:formatCode>General</c:formatCode>
                <c:ptCount val="4"/>
                <c:pt idx="0">
                  <c:v>3.49</c:v>
                </c:pt>
                <c:pt idx="1">
                  <c:v>2.76</c:v>
                </c:pt>
                <c:pt idx="2">
                  <c:v>2.82</c:v>
                </c:pt>
                <c:pt idx="3">
                  <c:v>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E7-B843-93B2-EFD4D6D4CBE3}"/>
            </c:ext>
          </c:extLst>
        </c:ser>
        <c:ser>
          <c:idx val="2"/>
          <c:order val="2"/>
          <c:tx>
            <c:strRef>
              <c:f>Worksheet!$S$1</c:f>
              <c:strCache>
                <c:ptCount val="1"/>
                <c:pt idx="0">
                  <c:v>Integration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Worksheet!$P$2:$P$5</c:f>
              <c:strCache>
                <c:ptCount val="4"/>
                <c:pt idx="0">
                  <c:v>Bank</c:v>
                </c:pt>
                <c:pt idx="1">
                  <c:v>Insurance</c:v>
                </c:pt>
                <c:pt idx="2">
                  <c:v>Asset Management</c:v>
                </c:pt>
                <c:pt idx="3">
                  <c:v>Financial Management</c:v>
                </c:pt>
              </c:strCache>
            </c:strRef>
          </c:cat>
          <c:val>
            <c:numRef>
              <c:f>Worksheet!$S$2:$S$5</c:f>
              <c:numCache>
                <c:formatCode>General</c:formatCode>
                <c:ptCount val="4"/>
                <c:pt idx="0">
                  <c:v>2.4900000000000002</c:v>
                </c:pt>
                <c:pt idx="1">
                  <c:v>1.93</c:v>
                </c:pt>
                <c:pt idx="2">
                  <c:v>1.89</c:v>
                </c:pt>
                <c:pt idx="3">
                  <c:v>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E7-B843-93B2-EFD4D6D4C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6076287"/>
        <c:axId val="1566079871"/>
      </c:barChart>
      <c:catAx>
        <c:axId val="1566076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566079871"/>
        <c:crosses val="autoZero"/>
        <c:auto val="1"/>
        <c:lblAlgn val="ctr"/>
        <c:lblOffset val="100"/>
        <c:noMultiLvlLbl val="0"/>
      </c:catAx>
      <c:valAx>
        <c:axId val="156607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56607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 Integration Maturity Level as per the five dimensions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Worksheet!$Q$30</c:f>
              <c:strCache>
                <c:ptCount val="1"/>
                <c:pt idx="0">
                  <c:v>Leadership &amp; Accountability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Worksheet!$R$29:$AD$29</c:f>
              <c:strCache>
                <c:ptCount val="13"/>
                <c:pt idx="1">
                  <c:v>HSBC</c:v>
                </c:pt>
                <c:pt idx="2">
                  <c:v>BARCLAYS</c:v>
                </c:pt>
                <c:pt idx="3">
                  <c:v>Lloyds</c:v>
                </c:pt>
                <c:pt idx="4">
                  <c:v>Aviva</c:v>
                </c:pt>
                <c:pt idx="5">
                  <c:v>LG</c:v>
                </c:pt>
                <c:pt idx="6">
                  <c:v>Prudential</c:v>
                </c:pt>
                <c:pt idx="7">
                  <c:v>3i</c:v>
                </c:pt>
                <c:pt idx="8">
                  <c:v>MG</c:v>
                </c:pt>
                <c:pt idx="9">
                  <c:v>Schroders</c:v>
                </c:pt>
                <c:pt idx="10">
                  <c:v>LSEG</c:v>
                </c:pt>
                <c:pt idx="11">
                  <c:v>Experian</c:v>
                </c:pt>
                <c:pt idx="12">
                  <c:v>Wise</c:v>
                </c:pt>
              </c:strCache>
            </c:strRef>
          </c:cat>
          <c:val>
            <c:numRef>
              <c:f>Worksheet!$R$30:$AD$30</c:f>
              <c:numCache>
                <c:formatCode>0.00</c:formatCode>
                <c:ptCount val="13"/>
                <c:pt idx="1">
                  <c:v>3.3333333333333335</c:v>
                </c:pt>
                <c:pt idx="2">
                  <c:v>3</c:v>
                </c:pt>
                <c:pt idx="3">
                  <c:v>2.3333333333333335</c:v>
                </c:pt>
                <c:pt idx="4">
                  <c:v>1</c:v>
                </c:pt>
                <c:pt idx="5">
                  <c:v>2</c:v>
                </c:pt>
                <c:pt idx="6">
                  <c:v>2.3333333333333335</c:v>
                </c:pt>
                <c:pt idx="7">
                  <c:v>2</c:v>
                </c:pt>
                <c:pt idx="8">
                  <c:v>2</c:v>
                </c:pt>
                <c:pt idx="9">
                  <c:v>2.6666666666666665</c:v>
                </c:pt>
                <c:pt idx="10">
                  <c:v>2.3333333333333335</c:v>
                </c:pt>
                <c:pt idx="11">
                  <c:v>2.6666666666666665</c:v>
                </c:pt>
                <c:pt idx="12">
                  <c:v>2.3333333333333335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B-E34A-8CB4-06BA0E4ACCAD}"/>
            </c:ext>
          </c:extLst>
        </c:ser>
        <c:ser>
          <c:idx val="1"/>
          <c:order val="1"/>
          <c:tx>
            <c:strRef>
              <c:f>Worksheet!$Q$31</c:f>
              <c:strCache>
                <c:ptCount val="1"/>
                <c:pt idx="0">
                  <c:v>Risk Management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Worksheet!$R$29:$AD$29</c:f>
              <c:strCache>
                <c:ptCount val="13"/>
                <c:pt idx="1">
                  <c:v>HSBC</c:v>
                </c:pt>
                <c:pt idx="2">
                  <c:v>BARCLAYS</c:v>
                </c:pt>
                <c:pt idx="3">
                  <c:v>Lloyds</c:v>
                </c:pt>
                <c:pt idx="4">
                  <c:v>Aviva</c:v>
                </c:pt>
                <c:pt idx="5">
                  <c:v>LG</c:v>
                </c:pt>
                <c:pt idx="6">
                  <c:v>Prudential</c:v>
                </c:pt>
                <c:pt idx="7">
                  <c:v>3i</c:v>
                </c:pt>
                <c:pt idx="8">
                  <c:v>MG</c:v>
                </c:pt>
                <c:pt idx="9">
                  <c:v>Schroders</c:v>
                </c:pt>
                <c:pt idx="10">
                  <c:v>LSEG</c:v>
                </c:pt>
                <c:pt idx="11">
                  <c:v>Experian</c:v>
                </c:pt>
                <c:pt idx="12">
                  <c:v>Wise</c:v>
                </c:pt>
              </c:strCache>
            </c:strRef>
          </c:cat>
          <c:val>
            <c:numRef>
              <c:f>Worksheet!$R$31:$AD$31</c:f>
              <c:numCache>
                <c:formatCode>0.00</c:formatCode>
                <c:ptCount val="13"/>
                <c:pt idx="1">
                  <c:v>2.6666666666666665</c:v>
                </c:pt>
                <c:pt idx="2">
                  <c:v>2.6666666666666665</c:v>
                </c:pt>
                <c:pt idx="3">
                  <c:v>3</c:v>
                </c:pt>
                <c:pt idx="4">
                  <c:v>1</c:v>
                </c:pt>
                <c:pt idx="5">
                  <c:v>2.3333333333333335</c:v>
                </c:pt>
                <c:pt idx="6">
                  <c:v>2.3333333333333335</c:v>
                </c:pt>
                <c:pt idx="7">
                  <c:v>1.3333333333333333</c:v>
                </c:pt>
                <c:pt idx="8">
                  <c:v>2</c:v>
                </c:pt>
                <c:pt idx="9">
                  <c:v>2.3333333333333335</c:v>
                </c:pt>
                <c:pt idx="10">
                  <c:v>2.6666666666666665</c:v>
                </c:pt>
                <c:pt idx="11">
                  <c:v>3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DB-E34A-8CB4-06BA0E4ACCAD}"/>
            </c:ext>
          </c:extLst>
        </c:ser>
        <c:ser>
          <c:idx val="2"/>
          <c:order val="2"/>
          <c:tx>
            <c:strRef>
              <c:f>Worksheet!$Q$32</c:f>
              <c:strCache>
                <c:ptCount val="1"/>
                <c:pt idx="0">
                  <c:v>Assurance &amp; Improvement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Worksheet!$R$29:$AD$29</c:f>
              <c:strCache>
                <c:ptCount val="13"/>
                <c:pt idx="1">
                  <c:v>HSBC</c:v>
                </c:pt>
                <c:pt idx="2">
                  <c:v>BARCLAYS</c:v>
                </c:pt>
                <c:pt idx="3">
                  <c:v>Lloyds</c:v>
                </c:pt>
                <c:pt idx="4">
                  <c:v>Aviva</c:v>
                </c:pt>
                <c:pt idx="5">
                  <c:v>LG</c:v>
                </c:pt>
                <c:pt idx="6">
                  <c:v>Prudential</c:v>
                </c:pt>
                <c:pt idx="7">
                  <c:v>3i</c:v>
                </c:pt>
                <c:pt idx="8">
                  <c:v>MG</c:v>
                </c:pt>
                <c:pt idx="9">
                  <c:v>Schroders</c:v>
                </c:pt>
                <c:pt idx="10">
                  <c:v>LSEG</c:v>
                </c:pt>
                <c:pt idx="11">
                  <c:v>Experian</c:v>
                </c:pt>
                <c:pt idx="12">
                  <c:v>Wise</c:v>
                </c:pt>
              </c:strCache>
            </c:strRef>
          </c:cat>
          <c:val>
            <c:numRef>
              <c:f>Worksheet!$R$32:$AD$32</c:f>
              <c:numCache>
                <c:formatCode>0.00</c:formatCode>
                <c:ptCount val="13"/>
                <c:pt idx="1">
                  <c:v>2.6666666666666665</c:v>
                </c:pt>
                <c:pt idx="2">
                  <c:v>3</c:v>
                </c:pt>
                <c:pt idx="3">
                  <c:v>2.3333333333333335</c:v>
                </c:pt>
                <c:pt idx="4">
                  <c:v>1.6666666666666667</c:v>
                </c:pt>
                <c:pt idx="5">
                  <c:v>2.3333333333333335</c:v>
                </c:pt>
                <c:pt idx="6">
                  <c:v>2.6666666666666665</c:v>
                </c:pt>
                <c:pt idx="7">
                  <c:v>1.6666666666666667</c:v>
                </c:pt>
                <c:pt idx="8">
                  <c:v>2</c:v>
                </c:pt>
                <c:pt idx="9">
                  <c:v>2.6666666666666665</c:v>
                </c:pt>
                <c:pt idx="10">
                  <c:v>2.3333333333333335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DB-E34A-8CB4-06BA0E4ACCAD}"/>
            </c:ext>
          </c:extLst>
        </c:ser>
        <c:ser>
          <c:idx val="3"/>
          <c:order val="3"/>
          <c:tx>
            <c:strRef>
              <c:f>Worksheet!$Q$33</c:f>
              <c:strCache>
                <c:ptCount val="1"/>
                <c:pt idx="0">
                  <c:v>Lifecycle &amp; Data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Worksheet!$R$29:$AD$29</c:f>
              <c:strCache>
                <c:ptCount val="13"/>
                <c:pt idx="1">
                  <c:v>HSBC</c:v>
                </c:pt>
                <c:pt idx="2">
                  <c:v>BARCLAYS</c:v>
                </c:pt>
                <c:pt idx="3">
                  <c:v>Lloyds</c:v>
                </c:pt>
                <c:pt idx="4">
                  <c:v>Aviva</c:v>
                </c:pt>
                <c:pt idx="5">
                  <c:v>LG</c:v>
                </c:pt>
                <c:pt idx="6">
                  <c:v>Prudential</c:v>
                </c:pt>
                <c:pt idx="7">
                  <c:v>3i</c:v>
                </c:pt>
                <c:pt idx="8">
                  <c:v>MG</c:v>
                </c:pt>
                <c:pt idx="9">
                  <c:v>Schroders</c:v>
                </c:pt>
                <c:pt idx="10">
                  <c:v>LSEG</c:v>
                </c:pt>
                <c:pt idx="11">
                  <c:v>Experian</c:v>
                </c:pt>
                <c:pt idx="12">
                  <c:v>Wise</c:v>
                </c:pt>
              </c:strCache>
            </c:strRef>
          </c:cat>
          <c:val>
            <c:numRef>
              <c:f>Worksheet!$R$33:$AD$33</c:f>
              <c:numCache>
                <c:formatCode>General</c:formatCode>
                <c:ptCount val="13"/>
                <c:pt idx="1">
                  <c:v>2.33</c:v>
                </c:pt>
                <c:pt idx="2">
                  <c:v>2.67</c:v>
                </c:pt>
                <c:pt idx="3">
                  <c:v>2.33</c:v>
                </c:pt>
                <c:pt idx="4">
                  <c:v>1.33</c:v>
                </c:pt>
                <c:pt idx="5">
                  <c:v>2.33</c:v>
                </c:pt>
                <c:pt idx="6">
                  <c:v>2.67</c:v>
                </c:pt>
                <c:pt idx="7">
                  <c:v>1</c:v>
                </c:pt>
                <c:pt idx="8">
                  <c:v>2.33</c:v>
                </c:pt>
                <c:pt idx="9">
                  <c:v>2</c:v>
                </c:pt>
                <c:pt idx="10">
                  <c:v>1.67</c:v>
                </c:pt>
                <c:pt idx="11">
                  <c:v>3</c:v>
                </c:pt>
                <c:pt idx="12">
                  <c:v>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DB-E34A-8CB4-06BA0E4ACCAD}"/>
            </c:ext>
          </c:extLst>
        </c:ser>
        <c:ser>
          <c:idx val="4"/>
          <c:order val="4"/>
          <c:tx>
            <c:strRef>
              <c:f>Worksheet!$Q$34</c:f>
              <c:strCache>
                <c:ptCount val="1"/>
                <c:pt idx="0">
                  <c:v>Detect &amp; Response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Worksheet!$R$29:$AD$29</c:f>
              <c:strCache>
                <c:ptCount val="13"/>
                <c:pt idx="1">
                  <c:v>HSBC</c:v>
                </c:pt>
                <c:pt idx="2">
                  <c:v>BARCLAYS</c:v>
                </c:pt>
                <c:pt idx="3">
                  <c:v>Lloyds</c:v>
                </c:pt>
                <c:pt idx="4">
                  <c:v>Aviva</c:v>
                </c:pt>
                <c:pt idx="5">
                  <c:v>LG</c:v>
                </c:pt>
                <c:pt idx="6">
                  <c:v>Prudential</c:v>
                </c:pt>
                <c:pt idx="7">
                  <c:v>3i</c:v>
                </c:pt>
                <c:pt idx="8">
                  <c:v>MG</c:v>
                </c:pt>
                <c:pt idx="9">
                  <c:v>Schroders</c:v>
                </c:pt>
                <c:pt idx="10">
                  <c:v>LSEG</c:v>
                </c:pt>
                <c:pt idx="11">
                  <c:v>Experian</c:v>
                </c:pt>
                <c:pt idx="12">
                  <c:v>Wise</c:v>
                </c:pt>
              </c:strCache>
            </c:strRef>
          </c:cat>
          <c:val>
            <c:numRef>
              <c:f>Worksheet!$R$34:$AD$34</c:f>
              <c:numCache>
                <c:formatCode>General</c:formatCode>
                <c:ptCount val="13"/>
                <c:pt idx="1">
                  <c:v>1.67</c:v>
                </c:pt>
                <c:pt idx="2">
                  <c:v>2</c:v>
                </c:pt>
                <c:pt idx="3">
                  <c:v>1.33</c:v>
                </c:pt>
                <c:pt idx="4">
                  <c:v>1.33</c:v>
                </c:pt>
                <c:pt idx="5">
                  <c:v>1.33</c:v>
                </c:pt>
                <c:pt idx="6">
                  <c:v>2.33</c:v>
                </c:pt>
                <c:pt idx="7">
                  <c:v>1.33</c:v>
                </c:pt>
                <c:pt idx="8">
                  <c:v>1.33</c:v>
                </c:pt>
                <c:pt idx="9">
                  <c:v>1.67</c:v>
                </c:pt>
                <c:pt idx="10">
                  <c:v>1.33</c:v>
                </c:pt>
                <c:pt idx="11">
                  <c:v>2</c:v>
                </c:pt>
                <c:pt idx="12">
                  <c:v>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DB-E34A-8CB4-06BA0E4AC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910399"/>
        <c:axId val="1613917119"/>
      </c:barChart>
      <c:catAx>
        <c:axId val="161391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613917119"/>
        <c:crosses val="autoZero"/>
        <c:auto val="1"/>
        <c:lblAlgn val="ctr"/>
        <c:lblOffset val="100"/>
        <c:noMultiLvlLbl val="0"/>
      </c:catAx>
      <c:valAx>
        <c:axId val="161391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61391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Analysis</a:t>
            </a:r>
            <a:r>
              <a:rPr lang="en-GB" baseline="0"/>
              <a:t> on Disclosed Cybersecurity Pillars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Worksheet!$C$49:$C$56</c:f>
              <c:strCache>
                <c:ptCount val="8"/>
                <c:pt idx="0">
                  <c:v>Cyber risk embedded in enterprise risk-management strategy.</c:v>
                </c:pt>
                <c:pt idx="1">
                  <c:v>Operational resilience / ICT continuity.</c:v>
                </c:pt>
                <c:pt idx="2">
                  <c:v>Board-approved cybersecurity / information-security policy.</c:v>
                </c:pt>
                <c:pt idx="3">
                  <c:v>Board oversight of cyber risk with a named senior owner (CISO).</c:v>
                </c:pt>
                <c:pt idx="4">
                  <c:v>Asset inventory / asset management.</c:v>
                </c:pt>
                <c:pt idx="5">
                  <c:v>Access control and identity management.</c:v>
                </c:pt>
                <c:pt idx="6">
                  <c:v>Threat-led penetration / resilience testing.</c:v>
                </c:pt>
                <c:pt idx="7">
                  <c:v>Security awareness and training.</c:v>
                </c:pt>
              </c:strCache>
            </c:strRef>
          </c:cat>
          <c:val>
            <c:numRef>
              <c:f>Worksheet!$D$49:$D$56</c:f>
              <c:numCache>
                <c:formatCode>General</c:formatCode>
                <c:ptCount val="8"/>
                <c:pt idx="0">
                  <c:v>3.75</c:v>
                </c:pt>
                <c:pt idx="1">
                  <c:v>3.67</c:v>
                </c:pt>
                <c:pt idx="2">
                  <c:v>3.58</c:v>
                </c:pt>
                <c:pt idx="3">
                  <c:v>3.5</c:v>
                </c:pt>
                <c:pt idx="4">
                  <c:v>1.58</c:v>
                </c:pt>
                <c:pt idx="5">
                  <c:v>2.08</c:v>
                </c:pt>
                <c:pt idx="6">
                  <c:v>2.25</c:v>
                </c:pt>
                <c:pt idx="7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4-2F45-B0D3-0A7E36050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7788095"/>
        <c:axId val="1537791679"/>
      </c:barChart>
      <c:catAx>
        <c:axId val="1537788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537791679"/>
        <c:crosses val="autoZero"/>
        <c:auto val="1"/>
        <c:lblAlgn val="ctr"/>
        <c:lblOffset val="100"/>
        <c:noMultiLvlLbl val="0"/>
      </c:catAx>
      <c:valAx>
        <c:axId val="153779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53778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Analysis on Disclosed AI Pillars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Worksheet!$C$65:$C$70</c:f>
              <c:strCache>
                <c:ptCount val="6"/>
                <c:pt idx="0">
                  <c:v>Board / top-management-approved responsible-AI policy or principles.</c:v>
                </c:pt>
                <c:pt idx="1">
                  <c:v>Board / committee oversight of AI with a named senior owner </c:v>
                </c:pt>
                <c:pt idx="2">
                  <c:v>AI/ML brought within the firm's model risk management framework.</c:v>
                </c:pt>
                <c:pt idx="3">
                  <c:v>Transparency and explainability to users / affected parties.</c:v>
                </c:pt>
                <c:pt idx="4">
                  <c:v>AI testing, incident management and escalation.</c:v>
                </c:pt>
                <c:pt idx="5">
                  <c:v>Documented AI Risk assessment</c:v>
                </c:pt>
              </c:strCache>
            </c:strRef>
          </c:cat>
          <c:val>
            <c:numRef>
              <c:f>Worksheet!$D$65:$D$70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2.82</c:v>
                </c:pt>
                <c:pt idx="3">
                  <c:v>1.75</c:v>
                </c:pt>
                <c:pt idx="4">
                  <c:v>1.75</c:v>
                </c:pt>
                <c:pt idx="5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6-7C42-A6F7-E51913D9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2720255"/>
        <c:axId val="1442721151"/>
      </c:barChart>
      <c:catAx>
        <c:axId val="1442720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442721151"/>
        <c:crosses val="autoZero"/>
        <c:auto val="1"/>
        <c:lblAlgn val="ctr"/>
        <c:lblOffset val="100"/>
        <c:noMultiLvlLbl val="0"/>
      </c:catAx>
      <c:valAx>
        <c:axId val="144272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44272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Worksheet!$AE$41</c:f>
              <c:strCache>
                <c:ptCount val="1"/>
                <c:pt idx="0">
                  <c:v>Average Integration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Worksheet!$AD$42:$AD$46</c:f>
              <c:strCache>
                <c:ptCount val="5"/>
                <c:pt idx="0">
                  <c:v>Leadership &amp; Accountability</c:v>
                </c:pt>
                <c:pt idx="1">
                  <c:v>Risk Management</c:v>
                </c:pt>
                <c:pt idx="2">
                  <c:v>Assurance &amp; Improvement</c:v>
                </c:pt>
                <c:pt idx="3">
                  <c:v>Lifecycle &amp; Data</c:v>
                </c:pt>
                <c:pt idx="4">
                  <c:v>Detect &amp; Response</c:v>
                </c:pt>
              </c:strCache>
            </c:strRef>
          </c:cat>
          <c:val>
            <c:numRef>
              <c:f>Worksheet!$AE$42:$AE$46</c:f>
              <c:numCache>
                <c:formatCode>General</c:formatCode>
                <c:ptCount val="5"/>
                <c:pt idx="0">
                  <c:v>2.33</c:v>
                </c:pt>
                <c:pt idx="1">
                  <c:v>2.36</c:v>
                </c:pt>
                <c:pt idx="2">
                  <c:v>2.36</c:v>
                </c:pt>
                <c:pt idx="3">
                  <c:v>2.11</c:v>
                </c:pt>
                <c:pt idx="4">
                  <c:v>1.58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E-254D-93BA-54495CBAD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3981632"/>
        <c:axId val="2073980288"/>
      </c:barChart>
      <c:catAx>
        <c:axId val="2073981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073980288"/>
        <c:crosses val="autoZero"/>
        <c:auto val="1"/>
        <c:lblAlgn val="ctr"/>
        <c:lblOffset val="100"/>
        <c:noMultiLvlLbl val="0"/>
      </c:catAx>
      <c:valAx>
        <c:axId val="207398028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07398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AI Governance Mean Score</a:t>
            </a:r>
            <a:r>
              <a:rPr lang="en-GB" baseline="0"/>
              <a:t> Per Indicators Across 12 firms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2'!$C$3:$C$17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D-4A4C-9EEF-EE6CBC28EA2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2'!$D$3:$D$17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2D-4A4C-9EEF-EE6CBC28EA2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2'!$E$3:$E$17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2D-4A4C-9EEF-EE6CBC28EA2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2'!$F$3:$F$17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2D-4A4C-9EEF-EE6CBC28EA2E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2'!$G$3:$G$17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2D-4A4C-9EEF-EE6CBC28EA2E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2'!$H$3:$H$17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2D-4A4C-9EEF-EE6CBC28EA2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2'!$I$3:$I$17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2D-4A4C-9EEF-EE6CBC28EA2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2'!$J$3:$J$17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2D-4A4C-9EEF-EE6CBC28EA2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2'!$K$3:$K$17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2D-4A4C-9EEF-EE6CBC28EA2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2'!$L$3:$L$17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2D-4A4C-9EEF-EE6CBC28EA2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2'!$M$3:$M$17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2D-4A4C-9EEF-EE6CBC28EA2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2'!$N$3:$N$17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2D-4A4C-9EEF-EE6CBC28EA2E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2'!$O$3:$O$17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2.58</c:v>
                </c:pt>
                <c:pt idx="3">
                  <c:v>2.83</c:v>
                </c:pt>
                <c:pt idx="4">
                  <c:v>2.83</c:v>
                </c:pt>
                <c:pt idx="5">
                  <c:v>2.42</c:v>
                </c:pt>
                <c:pt idx="6">
                  <c:v>2.58</c:v>
                </c:pt>
                <c:pt idx="7">
                  <c:v>2.5</c:v>
                </c:pt>
                <c:pt idx="8">
                  <c:v>2.08</c:v>
                </c:pt>
                <c:pt idx="9">
                  <c:v>2.17</c:v>
                </c:pt>
                <c:pt idx="10">
                  <c:v>1.75</c:v>
                </c:pt>
                <c:pt idx="11">
                  <c:v>2.42</c:v>
                </c:pt>
                <c:pt idx="12">
                  <c:v>2.58</c:v>
                </c:pt>
                <c:pt idx="13">
                  <c:v>1.75</c:v>
                </c:pt>
                <c:pt idx="14">
                  <c:v>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2D-4A4C-9EEF-EE6CBC28E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4944704"/>
        <c:axId val="2104942464"/>
      </c:barChart>
      <c:catAx>
        <c:axId val="210494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104942464"/>
        <c:crosses val="autoZero"/>
        <c:auto val="1"/>
        <c:lblAlgn val="ctr"/>
        <c:lblOffset val="100"/>
        <c:noMultiLvlLbl val="0"/>
      </c:catAx>
      <c:valAx>
        <c:axId val="210494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10494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AI Governance Mean Score Per Indicators Across 12 firms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2'!$C$19:$C$33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9-D345-B6F1-0D9BED32871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2'!$D$19:$D$33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9-D345-B6F1-0D9BED32871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2'!$E$19:$E$33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9-D345-B6F1-0D9BED32871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2'!$F$19:$F$33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39-D345-B6F1-0D9BED32871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2'!$G$19:$G$33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39-D345-B6F1-0D9BED32871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2'!$H$19:$H$33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39-D345-B6F1-0D9BED32871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2'!$I$19:$I$33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39-D345-B6F1-0D9BED32871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2'!$J$19:$J$33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39-D345-B6F1-0D9BED32871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2'!$K$19:$K$33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39-D345-B6F1-0D9BED32871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2'!$L$19:$L$33</c:f>
              <c:numCache>
                <c:formatCode>General</c:formatCode>
                <c:ptCount val="15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39-D345-B6F1-0D9BED32871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2'!$M$19:$M$33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39-D345-B6F1-0D9BED32871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2'!$N$19:$N$33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939-D345-B6F1-0D9BED32871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2'!$O$19:$O$33</c:f>
              <c:numCache>
                <c:formatCode>General</c:formatCode>
                <c:ptCount val="15"/>
                <c:pt idx="0">
                  <c:v>3.58</c:v>
                </c:pt>
                <c:pt idx="1">
                  <c:v>3.5</c:v>
                </c:pt>
                <c:pt idx="2">
                  <c:v>3.75</c:v>
                </c:pt>
                <c:pt idx="3">
                  <c:v>3.5</c:v>
                </c:pt>
                <c:pt idx="4">
                  <c:v>1.58</c:v>
                </c:pt>
                <c:pt idx="5">
                  <c:v>3.33</c:v>
                </c:pt>
                <c:pt idx="6">
                  <c:v>2.08</c:v>
                </c:pt>
                <c:pt idx="7">
                  <c:v>3.33</c:v>
                </c:pt>
                <c:pt idx="8">
                  <c:v>3.67</c:v>
                </c:pt>
                <c:pt idx="9">
                  <c:v>3</c:v>
                </c:pt>
                <c:pt idx="10">
                  <c:v>3.25</c:v>
                </c:pt>
                <c:pt idx="11">
                  <c:v>2.25</c:v>
                </c:pt>
                <c:pt idx="12">
                  <c:v>3.33</c:v>
                </c:pt>
                <c:pt idx="13">
                  <c:v>2.5</c:v>
                </c:pt>
                <c:pt idx="14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39-D345-B6F1-0D9BED328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4219840"/>
        <c:axId val="2114209984"/>
      </c:barChart>
      <c:catAx>
        <c:axId val="211421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114209984"/>
        <c:crosses val="autoZero"/>
        <c:auto val="1"/>
        <c:lblAlgn val="ctr"/>
        <c:lblOffset val="100"/>
        <c:noMultiLvlLbl val="0"/>
      </c:catAx>
      <c:valAx>
        <c:axId val="211420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11421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Integration Score Mean As Per Indicators Across 12 Firms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2'!$C$35:$C$49</c:f>
              <c:numCache>
                <c:formatCode>General</c:formatCode>
                <c:ptCount val="15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6-DD4D-BB63-8602D28F81D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2'!$D$35:$D$49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86-DD4D-BB63-8602D28F81D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2'!$E$35:$E$49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86-DD4D-BB63-8602D28F81D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2'!$F$35:$F$49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86-DD4D-BB63-8602D28F81D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2'!$G$35:$G$49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86-DD4D-BB63-8602D28F81D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2'!$H$35:$H$49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86-DD4D-BB63-8602D28F81D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2'!$I$35:$I$49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86-DD4D-BB63-8602D28F81D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2'!$J$35:$J$49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786-DD4D-BB63-8602D28F81D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2'!$K$35:$K$49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86-DD4D-BB63-8602D28F81D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2'!$L$35:$L$49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786-DD4D-BB63-8602D28F81D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2'!$M$35:$M$49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86-DD4D-BB63-8602D28F81D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2'!$N$35:$N$49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786-DD4D-BB63-8602D28F81D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2'!$O$35:$O$49</c:f>
              <c:numCache>
                <c:formatCode>General</c:formatCode>
                <c:ptCount val="15"/>
                <c:pt idx="0">
                  <c:v>2.33</c:v>
                </c:pt>
                <c:pt idx="1">
                  <c:v>1.92</c:v>
                </c:pt>
                <c:pt idx="2">
                  <c:v>2.75</c:v>
                </c:pt>
                <c:pt idx="3">
                  <c:v>2.67</c:v>
                </c:pt>
                <c:pt idx="4">
                  <c:v>2.17</c:v>
                </c:pt>
                <c:pt idx="5">
                  <c:v>2.25</c:v>
                </c:pt>
                <c:pt idx="6">
                  <c:v>1.83</c:v>
                </c:pt>
                <c:pt idx="7">
                  <c:v>2.08</c:v>
                </c:pt>
                <c:pt idx="8">
                  <c:v>2.42</c:v>
                </c:pt>
                <c:pt idx="9">
                  <c:v>1.25</c:v>
                </c:pt>
                <c:pt idx="10">
                  <c:v>1.08</c:v>
                </c:pt>
                <c:pt idx="11">
                  <c:v>2.42</c:v>
                </c:pt>
                <c:pt idx="12">
                  <c:v>2.58</c:v>
                </c:pt>
                <c:pt idx="13">
                  <c:v>2.25</c:v>
                </c:pt>
                <c:pt idx="14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86-DD4D-BB63-8602D28F8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0242816"/>
        <c:axId val="2110244160"/>
      </c:barChart>
      <c:catAx>
        <c:axId val="211024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110244160"/>
        <c:crosses val="autoZero"/>
        <c:auto val="1"/>
        <c:lblAlgn val="ctr"/>
        <c:lblOffset val="100"/>
        <c:noMultiLvlLbl val="0"/>
      </c:catAx>
      <c:valAx>
        <c:axId val="211024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11024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324727</xdr:colOff>
      <xdr:row>0</xdr:row>
      <xdr:rowOff>38100</xdr:rowOff>
    </xdr:from>
    <xdr:to>
      <xdr:col>15</xdr:col>
      <xdr:colOff>50800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6BB69-9FB5-E01B-56C4-C623A7AC1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420852</xdr:colOff>
      <xdr:row>27</xdr:row>
      <xdr:rowOff>65907</xdr:rowOff>
    </xdr:from>
    <xdr:to>
      <xdr:col>14</xdr:col>
      <xdr:colOff>124811</xdr:colOff>
      <xdr:row>44</xdr:row>
      <xdr:rowOff>173857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CA660F-9D81-ADCB-2F69-E6D26A54A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626590</xdr:colOff>
      <xdr:row>0</xdr:row>
      <xdr:rowOff>0</xdr:rowOff>
    </xdr:from>
    <xdr:to>
      <xdr:col>26</xdr:col>
      <xdr:colOff>268838</xdr:colOff>
      <xdr:row>13</xdr:row>
      <xdr:rowOff>38976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12B8BB-2E16-8CB2-201A-961E7CC16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330638</xdr:colOff>
      <xdr:row>34</xdr:row>
      <xdr:rowOff>177582</xdr:rowOff>
    </xdr:from>
    <xdr:to>
      <xdr:col>26</xdr:col>
      <xdr:colOff>788275</xdr:colOff>
      <xdr:row>52</xdr:row>
      <xdr:rowOff>109484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55078F-ADB7-EA55-215E-0016B376C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527807</xdr:colOff>
      <xdr:row>48</xdr:row>
      <xdr:rowOff>475143</xdr:rowOff>
    </xdr:from>
    <xdr:to>
      <xdr:col>10</xdr:col>
      <xdr:colOff>136321</xdr:colOff>
      <xdr:row>50</xdr:row>
      <xdr:rowOff>736600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D3CD168-CC35-F647-A960-27DDE044B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723348</xdr:colOff>
      <xdr:row>66</xdr:row>
      <xdr:rowOff>1598307</xdr:rowOff>
    </xdr:from>
    <xdr:to>
      <xdr:col>11</xdr:col>
      <xdr:colOff>325782</xdr:colOff>
      <xdr:row>69</xdr:row>
      <xdr:rowOff>373743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DB5BFA-4B33-1800-838C-82D4F2283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213659</xdr:colOff>
      <xdr:row>39</xdr:row>
      <xdr:rowOff>145090</xdr:rowOff>
    </xdr:from>
    <xdr:to>
      <xdr:col>38</xdr:col>
      <xdr:colOff>654424</xdr:colOff>
      <xdr:row>48</xdr:row>
      <xdr:rowOff>1059490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1B9AB4-5EA0-855C-EAFB-3CE517666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812800</xdr:colOff>
      <xdr:row>1</xdr:row>
      <xdr:rowOff>31749</xdr:rowOff>
    </xdr:from>
    <xdr:to>
      <xdr:col>32</xdr:col>
      <xdr:colOff>690180</xdr:colOff>
      <xdr:row>21</xdr:row>
      <xdr:rowOff>62186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72DEF-8E63-8EE6-7A1D-52B64B4CC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</xdr:colOff>
      <xdr:row>24</xdr:row>
      <xdr:rowOff>169332</xdr:rowOff>
    </xdr:from>
    <xdr:to>
      <xdr:col>32</xdr:col>
      <xdr:colOff>812800</xdr:colOff>
      <xdr:row>47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00EE95-F8DF-B93C-C09B-F60739ED2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</xdr:colOff>
      <xdr:row>49</xdr:row>
      <xdr:rowOff>186266</xdr:rowOff>
    </xdr:from>
    <xdr:to>
      <xdr:col>32</xdr:col>
      <xdr:colOff>795867</xdr:colOff>
      <xdr:row>78</xdr:row>
      <xdr:rowOff>84667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F8C29A-6D26-1A21-FA7F-4500F6FA7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CA18-A6D1-3742-AD50-B23C2287D912}">
  <dimension ref="A1:D52"/>
  <sheetViews>
    <sheetView zoomScale="83" workbookViewId="0">
      <selection activeCell="C26" sqref="C26"/>
    </sheetView>
  </sheetViews>
  <sheetFormatPr baseColWidth="10" defaultRowHeight="15" x14ac:dyDescent="0.2"/>
  <cols>
    <col min="1" max="1" width="7" style="24" customWidth="1"/>
    <col min="2" max="2" width="58.1640625" style="24" bestFit="1" customWidth="1"/>
    <col min="3" max="3" width="46" style="101" bestFit="1" customWidth="1"/>
    <col min="4" max="4" width="9.1640625" style="101" customWidth="1"/>
    <col min="5" max="16384" width="10.83203125" style="24"/>
  </cols>
  <sheetData>
    <row r="1" spans="1:4" x14ac:dyDescent="0.2">
      <c r="A1" s="94" t="s">
        <v>935</v>
      </c>
      <c r="B1" s="94"/>
      <c r="C1" s="94"/>
      <c r="D1" s="94"/>
    </row>
    <row r="2" spans="1:4" ht="32" x14ac:dyDescent="0.2">
      <c r="A2" s="95" t="s">
        <v>6</v>
      </c>
      <c r="B2" s="95" t="s">
        <v>936</v>
      </c>
      <c r="C2" s="96" t="s">
        <v>937</v>
      </c>
      <c r="D2" s="96" t="s">
        <v>938</v>
      </c>
    </row>
    <row r="3" spans="1:4" ht="27" x14ac:dyDescent="0.2">
      <c r="A3" s="97" t="s">
        <v>14</v>
      </c>
      <c r="B3" s="98" t="s">
        <v>16</v>
      </c>
      <c r="C3" s="99" t="s">
        <v>939</v>
      </c>
      <c r="D3" s="99"/>
    </row>
    <row r="4" spans="1:4" ht="53" x14ac:dyDescent="0.2">
      <c r="A4" s="97" t="s">
        <v>21</v>
      </c>
      <c r="B4" s="98" t="s">
        <v>22</v>
      </c>
      <c r="C4" s="99" t="s">
        <v>940</v>
      </c>
      <c r="D4" s="99" t="s">
        <v>941</v>
      </c>
    </row>
    <row r="5" spans="1:4" ht="27" x14ac:dyDescent="0.2">
      <c r="A5" s="97" t="s">
        <v>26</v>
      </c>
      <c r="B5" s="98" t="s">
        <v>27</v>
      </c>
      <c r="C5" s="99" t="s">
        <v>942</v>
      </c>
      <c r="D5" s="99"/>
    </row>
    <row r="6" spans="1:4" ht="13" customHeight="1" x14ac:dyDescent="0.2">
      <c r="A6" s="97" t="s">
        <v>30</v>
      </c>
      <c r="B6" s="98" t="s">
        <v>32</v>
      </c>
      <c r="C6" s="99" t="s">
        <v>984</v>
      </c>
      <c r="D6" s="99"/>
    </row>
    <row r="7" spans="1:4" ht="40" x14ac:dyDescent="0.2">
      <c r="A7" s="97" t="s">
        <v>35</v>
      </c>
      <c r="B7" s="98" t="s">
        <v>36</v>
      </c>
      <c r="C7" s="99" t="s">
        <v>943</v>
      </c>
      <c r="D7" s="99" t="s">
        <v>944</v>
      </c>
    </row>
    <row r="8" spans="1:4" ht="40" x14ac:dyDescent="0.2">
      <c r="A8" s="97" t="s">
        <v>39</v>
      </c>
      <c r="B8" s="98" t="s">
        <v>40</v>
      </c>
      <c r="C8" s="99" t="s">
        <v>945</v>
      </c>
      <c r="D8" s="99" t="s">
        <v>944</v>
      </c>
    </row>
    <row r="9" spans="1:4" ht="15" customHeight="1" x14ac:dyDescent="0.2">
      <c r="A9" s="97" t="s">
        <v>43</v>
      </c>
      <c r="B9" s="98" t="s">
        <v>45</v>
      </c>
      <c r="C9" s="99" t="s">
        <v>985</v>
      </c>
      <c r="D9" s="99"/>
    </row>
    <row r="10" spans="1:4" ht="27" x14ac:dyDescent="0.2">
      <c r="A10" s="97" t="s">
        <v>47</v>
      </c>
      <c r="B10" s="98" t="s">
        <v>48</v>
      </c>
      <c r="C10" s="99" t="s">
        <v>946</v>
      </c>
      <c r="D10" s="99"/>
    </row>
    <row r="11" spans="1:4" ht="26" x14ac:dyDescent="0.2">
      <c r="A11" s="97" t="s">
        <v>51</v>
      </c>
      <c r="B11" s="98" t="s">
        <v>52</v>
      </c>
      <c r="C11" s="99" t="s">
        <v>947</v>
      </c>
      <c r="D11" s="99"/>
    </row>
    <row r="12" spans="1:4" x14ac:dyDescent="0.2">
      <c r="A12" s="97" t="s">
        <v>55</v>
      </c>
      <c r="B12" s="98" t="s">
        <v>57</v>
      </c>
      <c r="C12" s="99" t="s">
        <v>948</v>
      </c>
      <c r="D12" s="99"/>
    </row>
    <row r="13" spans="1:4" ht="40" x14ac:dyDescent="0.2">
      <c r="A13" s="97" t="s">
        <v>60</v>
      </c>
      <c r="B13" s="98" t="s">
        <v>61</v>
      </c>
      <c r="C13" s="99" t="s">
        <v>949</v>
      </c>
      <c r="D13" s="99"/>
    </row>
    <row r="14" spans="1:4" ht="27" x14ac:dyDescent="0.2">
      <c r="A14" s="97" t="s">
        <v>63</v>
      </c>
      <c r="B14" s="98" t="s">
        <v>64</v>
      </c>
      <c r="C14" s="99" t="s">
        <v>950</v>
      </c>
      <c r="D14" s="99"/>
    </row>
    <row r="15" spans="1:4" ht="26" x14ac:dyDescent="0.2">
      <c r="A15" s="97" t="s">
        <v>67</v>
      </c>
      <c r="B15" s="98" t="s">
        <v>69</v>
      </c>
      <c r="C15" s="97" t="s">
        <v>951</v>
      </c>
      <c r="D15" s="99"/>
    </row>
    <row r="16" spans="1:4" x14ac:dyDescent="0.2">
      <c r="A16" s="97" t="s">
        <v>71</v>
      </c>
      <c r="B16" s="98" t="s">
        <v>72</v>
      </c>
      <c r="C16" s="99" t="s">
        <v>952</v>
      </c>
      <c r="D16" s="99"/>
    </row>
    <row r="17" spans="1:4" ht="27" x14ac:dyDescent="0.2">
      <c r="A17" s="97" t="s">
        <v>74</v>
      </c>
      <c r="B17" s="98" t="s">
        <v>75</v>
      </c>
      <c r="C17" s="99" t="s">
        <v>953</v>
      </c>
      <c r="D17" s="99"/>
    </row>
    <row r="18" spans="1:4" x14ac:dyDescent="0.2">
      <c r="A18" s="94" t="s">
        <v>954</v>
      </c>
      <c r="B18" s="94"/>
      <c r="C18" s="94"/>
      <c r="D18" s="94"/>
    </row>
    <row r="19" spans="1:4" ht="32" x14ac:dyDescent="0.2">
      <c r="A19" s="95" t="s">
        <v>6</v>
      </c>
      <c r="B19" s="95" t="s">
        <v>936</v>
      </c>
      <c r="C19" s="96" t="s">
        <v>937</v>
      </c>
      <c r="D19" s="96" t="s">
        <v>938</v>
      </c>
    </row>
    <row r="20" spans="1:4" ht="26" x14ac:dyDescent="0.2">
      <c r="A20" s="97" t="s">
        <v>79</v>
      </c>
      <c r="B20" s="98" t="s">
        <v>80</v>
      </c>
      <c r="C20" s="99" t="s">
        <v>955</v>
      </c>
      <c r="D20" s="99"/>
    </row>
    <row r="21" spans="1:4" ht="26" x14ac:dyDescent="0.2">
      <c r="A21" s="97" t="s">
        <v>83</v>
      </c>
      <c r="B21" s="98" t="s">
        <v>84</v>
      </c>
      <c r="C21" s="99" t="s">
        <v>956</v>
      </c>
      <c r="D21" s="99"/>
    </row>
    <row r="22" spans="1:4" ht="26" x14ac:dyDescent="0.2">
      <c r="A22" s="97" t="s">
        <v>86</v>
      </c>
      <c r="B22" s="98" t="s">
        <v>87</v>
      </c>
      <c r="C22" s="99" t="s">
        <v>957</v>
      </c>
      <c r="D22" s="99"/>
    </row>
    <row r="23" spans="1:4" ht="26" x14ac:dyDescent="0.2">
      <c r="A23" s="97" t="s">
        <v>90</v>
      </c>
      <c r="B23" s="98" t="s">
        <v>91</v>
      </c>
      <c r="C23" s="99" t="s">
        <v>958</v>
      </c>
      <c r="D23" s="99"/>
    </row>
    <row r="24" spans="1:4" ht="27" x14ac:dyDescent="0.2">
      <c r="A24" s="97" t="s">
        <v>94</v>
      </c>
      <c r="B24" s="98" t="s">
        <v>95</v>
      </c>
      <c r="C24" s="99" t="s">
        <v>959</v>
      </c>
      <c r="D24" s="99"/>
    </row>
    <row r="25" spans="1:4" ht="27" x14ac:dyDescent="0.2">
      <c r="A25" s="97" t="s">
        <v>97</v>
      </c>
      <c r="B25" s="98" t="s">
        <v>98</v>
      </c>
      <c r="C25" s="99" t="s">
        <v>960</v>
      </c>
      <c r="D25" s="99"/>
    </row>
    <row r="26" spans="1:4" ht="27" x14ac:dyDescent="0.2">
      <c r="A26" s="97" t="s">
        <v>101</v>
      </c>
      <c r="B26" s="98" t="s">
        <v>103</v>
      </c>
      <c r="C26" s="102" t="s">
        <v>986</v>
      </c>
      <c r="D26" s="99"/>
    </row>
    <row r="27" spans="1:4" ht="27" x14ac:dyDescent="0.2">
      <c r="A27" s="97" t="s">
        <v>105</v>
      </c>
      <c r="B27" s="98" t="s">
        <v>106</v>
      </c>
      <c r="C27" s="99" t="s">
        <v>961</v>
      </c>
      <c r="D27" s="99"/>
    </row>
    <row r="28" spans="1:4" ht="27" x14ac:dyDescent="0.2">
      <c r="A28" s="97" t="s">
        <v>108</v>
      </c>
      <c r="B28" s="98" t="s">
        <v>109</v>
      </c>
      <c r="C28" s="99" t="s">
        <v>962</v>
      </c>
      <c r="D28" s="99"/>
    </row>
    <row r="29" spans="1:4" ht="27" x14ac:dyDescent="0.2">
      <c r="A29" s="97" t="s">
        <v>112</v>
      </c>
      <c r="B29" s="98" t="s">
        <v>114</v>
      </c>
      <c r="C29" s="99" t="s">
        <v>963</v>
      </c>
      <c r="D29" s="99"/>
    </row>
    <row r="30" spans="1:4" ht="27" x14ac:dyDescent="0.2">
      <c r="A30" s="97" t="s">
        <v>116</v>
      </c>
      <c r="B30" s="98" t="s">
        <v>117</v>
      </c>
      <c r="C30" s="99" t="s">
        <v>964</v>
      </c>
      <c r="D30" s="99"/>
    </row>
    <row r="31" spans="1:4" ht="27" x14ac:dyDescent="0.2">
      <c r="A31" s="97" t="s">
        <v>120</v>
      </c>
      <c r="B31" s="98" t="s">
        <v>121</v>
      </c>
      <c r="C31" s="99" t="s">
        <v>965</v>
      </c>
      <c r="D31" s="99"/>
    </row>
    <row r="32" spans="1:4" x14ac:dyDescent="0.2">
      <c r="A32" s="97" t="s">
        <v>123</v>
      </c>
      <c r="B32" s="98" t="s">
        <v>124</v>
      </c>
      <c r="C32" s="99" t="s">
        <v>966</v>
      </c>
      <c r="D32" s="99"/>
    </row>
    <row r="33" spans="1:4" ht="27" x14ac:dyDescent="0.2">
      <c r="A33" s="97" t="s">
        <v>126</v>
      </c>
      <c r="B33" s="98" t="s">
        <v>127</v>
      </c>
      <c r="C33" s="99" t="s">
        <v>967</v>
      </c>
      <c r="D33" s="99"/>
    </row>
    <row r="34" spans="1:4" ht="26" x14ac:dyDescent="0.2">
      <c r="A34" s="97" t="s">
        <v>130</v>
      </c>
      <c r="B34" s="98" t="s">
        <v>131</v>
      </c>
      <c r="C34" s="99" t="s">
        <v>968</v>
      </c>
      <c r="D34" s="99"/>
    </row>
    <row r="35" spans="1:4" x14ac:dyDescent="0.2">
      <c r="A35" s="94" t="s">
        <v>896</v>
      </c>
      <c r="B35" s="94"/>
      <c r="C35" s="94"/>
      <c r="D35" s="94"/>
    </row>
    <row r="36" spans="1:4" ht="32" x14ac:dyDescent="0.2">
      <c r="A36" s="95" t="s">
        <v>6</v>
      </c>
      <c r="B36" s="95" t="s">
        <v>936</v>
      </c>
      <c r="C36" s="96" t="s">
        <v>937</v>
      </c>
      <c r="D36" s="96" t="s">
        <v>938</v>
      </c>
    </row>
    <row r="37" spans="1:4" ht="26" x14ac:dyDescent="0.2">
      <c r="A37" s="97" t="s">
        <v>136</v>
      </c>
      <c r="B37" s="98" t="s">
        <v>137</v>
      </c>
      <c r="C37" s="99" t="s">
        <v>969</v>
      </c>
      <c r="D37" s="99"/>
    </row>
    <row r="38" spans="1:4" ht="26" x14ac:dyDescent="0.2">
      <c r="A38" s="97" t="s">
        <v>140</v>
      </c>
      <c r="B38" s="98" t="s">
        <v>141</v>
      </c>
      <c r="C38" s="99" t="s">
        <v>970</v>
      </c>
      <c r="D38" s="99"/>
    </row>
    <row r="39" spans="1:4" ht="26" x14ac:dyDescent="0.2">
      <c r="A39" s="97" t="s">
        <v>143</v>
      </c>
      <c r="B39" s="98" t="s">
        <v>144</v>
      </c>
      <c r="C39" s="99" t="s">
        <v>971</v>
      </c>
      <c r="D39" s="99"/>
    </row>
    <row r="40" spans="1:4" ht="27" x14ac:dyDescent="0.2">
      <c r="A40" s="97" t="s">
        <v>146</v>
      </c>
      <c r="B40" s="98" t="s">
        <v>147</v>
      </c>
      <c r="C40" s="99" t="s">
        <v>972</v>
      </c>
      <c r="D40" s="99"/>
    </row>
    <row r="41" spans="1:4" ht="27" x14ac:dyDescent="0.2">
      <c r="A41" s="97" t="s">
        <v>149</v>
      </c>
      <c r="B41" s="98" t="s">
        <v>150</v>
      </c>
      <c r="C41" s="99" t="s">
        <v>972</v>
      </c>
      <c r="D41" s="99"/>
    </row>
    <row r="42" spans="1:4" ht="66" x14ac:dyDescent="0.2">
      <c r="A42" s="97" t="s">
        <v>153</v>
      </c>
      <c r="B42" s="98" t="s">
        <v>154</v>
      </c>
      <c r="C42" s="99" t="s">
        <v>973</v>
      </c>
      <c r="D42" s="99" t="s">
        <v>974</v>
      </c>
    </row>
    <row r="43" spans="1:4" ht="27" x14ac:dyDescent="0.2">
      <c r="A43" s="97" t="s">
        <v>156</v>
      </c>
      <c r="B43" s="98" t="s">
        <v>157</v>
      </c>
      <c r="C43" s="99" t="s">
        <v>975</v>
      </c>
      <c r="D43" s="99"/>
    </row>
    <row r="44" spans="1:4" ht="27" x14ac:dyDescent="0.2">
      <c r="A44" s="97" t="s">
        <v>159</v>
      </c>
      <c r="B44" s="98" t="s">
        <v>160</v>
      </c>
      <c r="C44" s="99" t="s">
        <v>976</v>
      </c>
      <c r="D44" s="99"/>
    </row>
    <row r="45" spans="1:4" ht="27" x14ac:dyDescent="0.2">
      <c r="A45" s="97" t="s">
        <v>162</v>
      </c>
      <c r="B45" s="98" t="s">
        <v>163</v>
      </c>
      <c r="C45" s="99" t="s">
        <v>977</v>
      </c>
      <c r="D45" s="99"/>
    </row>
    <row r="46" spans="1:4" ht="40" x14ac:dyDescent="0.2">
      <c r="A46" s="97" t="s">
        <v>166</v>
      </c>
      <c r="B46" s="98" t="s">
        <v>167</v>
      </c>
      <c r="C46" s="99" t="s">
        <v>978</v>
      </c>
      <c r="D46" s="99"/>
    </row>
    <row r="47" spans="1:4" ht="26" x14ac:dyDescent="0.2">
      <c r="A47" s="97" t="s">
        <v>169</v>
      </c>
      <c r="B47" s="98" t="s">
        <v>170</v>
      </c>
      <c r="C47" s="99" t="s">
        <v>979</v>
      </c>
      <c r="D47" s="99"/>
    </row>
    <row r="48" spans="1:4" ht="27" x14ac:dyDescent="0.2">
      <c r="A48" s="97" t="s">
        <v>172</v>
      </c>
      <c r="B48" s="98" t="s">
        <v>173</v>
      </c>
      <c r="C48" s="99" t="s">
        <v>980</v>
      </c>
      <c r="D48" s="99"/>
    </row>
    <row r="49" spans="1:4" ht="40" x14ac:dyDescent="0.2">
      <c r="A49" s="97" t="s">
        <v>175</v>
      </c>
      <c r="B49" s="98" t="s">
        <v>176</v>
      </c>
      <c r="C49" s="99" t="s">
        <v>981</v>
      </c>
      <c r="D49" s="99"/>
    </row>
    <row r="50" spans="1:4" ht="40" x14ac:dyDescent="0.2">
      <c r="A50" s="97" t="s">
        <v>179</v>
      </c>
      <c r="B50" s="98" t="s">
        <v>180</v>
      </c>
      <c r="C50" s="99" t="s">
        <v>982</v>
      </c>
      <c r="D50" s="99"/>
    </row>
    <row r="51" spans="1:4" x14ac:dyDescent="0.2">
      <c r="A51" s="97" t="s">
        <v>183</v>
      </c>
      <c r="B51" s="98" t="s">
        <v>184</v>
      </c>
      <c r="C51" s="99" t="s">
        <v>983</v>
      </c>
      <c r="D51" s="99"/>
    </row>
    <row r="52" spans="1:4" x14ac:dyDescent="0.2">
      <c r="A52" s="90"/>
      <c r="B52" s="90"/>
      <c r="C52" s="100"/>
      <c r="D52" s="100"/>
    </row>
  </sheetData>
  <mergeCells count="3">
    <mergeCell ref="A1:D1"/>
    <mergeCell ref="A18:D18"/>
    <mergeCell ref="A35:D35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482D-B99A-4245-9A7A-8F839528CCA5}">
  <dimension ref="A1:AH70"/>
  <sheetViews>
    <sheetView topLeftCell="F12" zoomScale="68" zoomScaleNormal="150" workbookViewId="0">
      <selection activeCell="A16" sqref="A16:A19"/>
    </sheetView>
  </sheetViews>
  <sheetFormatPr baseColWidth="10" defaultRowHeight="16" x14ac:dyDescent="0.2"/>
  <cols>
    <col min="1" max="1" width="13.6640625" bestFit="1" customWidth="1"/>
    <col min="2" max="2" width="7.33203125" bestFit="1" customWidth="1"/>
    <col min="3" max="3" width="7.83203125" bestFit="1" customWidth="1"/>
    <col min="4" max="4" width="10" bestFit="1" customWidth="1"/>
  </cols>
  <sheetData>
    <row r="1" spans="1:20" x14ac:dyDescent="0.2">
      <c r="A1" s="29" t="s">
        <v>894</v>
      </c>
      <c r="B1" s="29" t="s">
        <v>13</v>
      </c>
      <c r="C1" s="29" t="s">
        <v>895</v>
      </c>
      <c r="D1" s="29" t="s">
        <v>896</v>
      </c>
      <c r="E1" s="29" t="s">
        <v>195</v>
      </c>
      <c r="P1" s="30"/>
      <c r="Q1" s="30" t="s">
        <v>13</v>
      </c>
      <c r="R1" s="30" t="s">
        <v>895</v>
      </c>
      <c r="S1" s="30" t="s">
        <v>896</v>
      </c>
      <c r="T1" s="30" t="s">
        <v>195</v>
      </c>
    </row>
    <row r="2" spans="1:20" x14ac:dyDescent="0.2">
      <c r="A2" s="32" t="s">
        <v>897</v>
      </c>
      <c r="B2" s="31">
        <f>HSBC!B51</f>
        <v>2.8</v>
      </c>
      <c r="C2" s="31">
        <f>HSBC!B52</f>
        <v>3.8</v>
      </c>
      <c r="D2" s="31">
        <f>HSBC!B53</f>
        <v>2.5333333333333332</v>
      </c>
      <c r="E2" s="31">
        <f>(C2-B2)</f>
        <v>1</v>
      </c>
      <c r="P2" s="30" t="s">
        <v>910</v>
      </c>
      <c r="Q2" s="31">
        <f>IFERROR(AVERAGE(B2,B3,B4), "")</f>
        <v>2.9333333333333336</v>
      </c>
      <c r="R2" s="30">
        <f>IFERROR(ROUND(AVERAGE(C2,C3,C4),2),"")</f>
        <v>3.49</v>
      </c>
      <c r="S2" s="30">
        <f>IFERROR(ROUND(AVERAGE(D2,D3,D4),2),"")</f>
        <v>2.4900000000000002</v>
      </c>
      <c r="T2" s="31">
        <f>(R2-Q2)</f>
        <v>0.55666666666666664</v>
      </c>
    </row>
    <row r="3" spans="1:20" x14ac:dyDescent="0.2">
      <c r="A3" s="32" t="s">
        <v>898</v>
      </c>
      <c r="B3" s="31">
        <f>Barclays!B51</f>
        <v>3</v>
      </c>
      <c r="C3" s="31">
        <f>Barclays!B52</f>
        <v>3.7333333333333334</v>
      </c>
      <c r="D3" s="31">
        <f>Barclays!B53</f>
        <v>2.6666666666666665</v>
      </c>
      <c r="E3" s="31">
        <f t="shared" ref="E3:E13" si="0">(C3-B3)</f>
        <v>0.73333333333333339</v>
      </c>
      <c r="P3" s="30" t="s">
        <v>432</v>
      </c>
      <c r="Q3" s="30">
        <f>IFERROR(ROUND(AVERAGE(B5,B6,B7),2),"")</f>
        <v>2.4700000000000002</v>
      </c>
      <c r="R3" s="30">
        <f>IFERROR(ROUND(AVERAGE(C5,C6,C7),2),"")</f>
        <v>2.76</v>
      </c>
      <c r="S3" s="30">
        <f>IFERROR(ROUND(AVERAGE(D5,D6,D7),2),"")</f>
        <v>1.93</v>
      </c>
      <c r="T3" s="31">
        <f t="shared" ref="T3:T5" si="1">(R3-Q3)</f>
        <v>0.28999999999999959</v>
      </c>
    </row>
    <row r="4" spans="1:20" x14ac:dyDescent="0.2">
      <c r="A4" s="32" t="s">
        <v>899</v>
      </c>
      <c r="B4" s="31">
        <f>Lloyds!B51</f>
        <v>3</v>
      </c>
      <c r="C4" s="31">
        <f>Lloyds!B52</f>
        <v>2.9333333333333331</v>
      </c>
      <c r="D4" s="31">
        <f>Lloyds!B53</f>
        <v>2.2666666666666666</v>
      </c>
      <c r="E4" s="31">
        <f t="shared" si="0"/>
        <v>-6.6666666666666874E-2</v>
      </c>
      <c r="P4" s="30" t="s">
        <v>609</v>
      </c>
      <c r="Q4" s="30">
        <f>IFERROR(ROUND(AVERAGE(B8,B9,B10),2),"")</f>
        <v>2.13</v>
      </c>
      <c r="R4" s="30">
        <f>IFERROR(ROUND(AVERAGE(C8,C9,C10),2),"")</f>
        <v>2.82</v>
      </c>
      <c r="S4" s="30">
        <f>IFERROR(ROUND(AVERAGE(D8,D9,D10),2),"")</f>
        <v>1.89</v>
      </c>
      <c r="T4" s="31">
        <f t="shared" si="1"/>
        <v>0.69</v>
      </c>
    </row>
    <row r="5" spans="1:20" x14ac:dyDescent="0.2">
      <c r="A5" s="33" t="s">
        <v>900</v>
      </c>
      <c r="B5" s="31">
        <f>Aviva!B51</f>
        <v>1.8</v>
      </c>
      <c r="C5" s="31">
        <f>Aviva!B52</f>
        <v>2.3333333333333335</v>
      </c>
      <c r="D5" s="31">
        <f>Aviva!B53</f>
        <v>1.2666666666666666</v>
      </c>
      <c r="E5" s="31">
        <f t="shared" si="0"/>
        <v>0.53333333333333344</v>
      </c>
      <c r="P5" s="30" t="s">
        <v>911</v>
      </c>
      <c r="Q5" s="30">
        <f>IFERROR(ROUND(AVERAGE(B11,B12,B13),2),"")</f>
        <v>2.38</v>
      </c>
      <c r="R5" s="30">
        <f>IFERROR(ROUND(AVERAGE(C11,C12,C13),2),"")</f>
        <v>3.24</v>
      </c>
      <c r="S5" s="30">
        <f>IFERROR(ROUND(AVERAGE(D11:D13),2),"")</f>
        <v>2.29</v>
      </c>
      <c r="T5" s="31">
        <f t="shared" si="1"/>
        <v>0.86000000000000032</v>
      </c>
    </row>
    <row r="6" spans="1:20" x14ac:dyDescent="0.2">
      <c r="A6" s="33" t="s">
        <v>901</v>
      </c>
      <c r="B6" s="31">
        <f>LG!B51</f>
        <v>2.6</v>
      </c>
      <c r="C6" s="31">
        <f>LG!B52</f>
        <v>2.7333333333333334</v>
      </c>
      <c r="D6" s="31">
        <f>LG!B53</f>
        <v>2.0666666666666669</v>
      </c>
      <c r="E6" s="31">
        <f t="shared" si="0"/>
        <v>0.1333333333333333</v>
      </c>
    </row>
    <row r="7" spans="1:20" x14ac:dyDescent="0.2">
      <c r="A7" s="33" t="s">
        <v>902</v>
      </c>
      <c r="B7" s="31">
        <f>Prudential!B51</f>
        <v>3</v>
      </c>
      <c r="C7" s="31">
        <f>Prudential!B52</f>
        <v>3.2</v>
      </c>
      <c r="D7" s="31">
        <f>Prudential!B53</f>
        <v>2.4666666666666668</v>
      </c>
      <c r="E7" s="31">
        <f t="shared" si="0"/>
        <v>0.20000000000000018</v>
      </c>
    </row>
    <row r="8" spans="1:20" x14ac:dyDescent="0.2">
      <c r="A8" s="34" t="s">
        <v>903</v>
      </c>
      <c r="B8" s="31">
        <f>'3i'!B51</f>
        <v>1.2666666666666666</v>
      </c>
      <c r="C8" s="31">
        <f>'3i'!B52</f>
        <v>2.7333333333333334</v>
      </c>
      <c r="D8" s="31">
        <f>'3i'!B53</f>
        <v>1.4666666666666666</v>
      </c>
      <c r="E8" s="31">
        <f t="shared" si="0"/>
        <v>1.4666666666666668</v>
      </c>
    </row>
    <row r="9" spans="1:20" x14ac:dyDescent="0.2">
      <c r="A9" s="34" t="s">
        <v>904</v>
      </c>
      <c r="B9" s="31">
        <f>MG!B51</f>
        <v>2.3333333333333335</v>
      </c>
      <c r="C9" s="31">
        <f>MG!B52</f>
        <v>2.4666666666666668</v>
      </c>
      <c r="D9" s="31">
        <f>MG!B53</f>
        <v>1.9333333333333333</v>
      </c>
      <c r="E9" s="31">
        <f t="shared" si="0"/>
        <v>0.1333333333333333</v>
      </c>
    </row>
    <row r="10" spans="1:20" x14ac:dyDescent="0.2">
      <c r="A10" s="34" t="s">
        <v>905</v>
      </c>
      <c r="B10" s="31">
        <f>Schroders!B51</f>
        <v>2.8</v>
      </c>
      <c r="C10" s="31">
        <f>Schroders!B52</f>
        <v>3.2666666666666666</v>
      </c>
      <c r="D10" s="31">
        <f>Schroders!B53</f>
        <v>2.2666666666666666</v>
      </c>
      <c r="E10" s="31">
        <f t="shared" si="0"/>
        <v>0.46666666666666679</v>
      </c>
    </row>
    <row r="11" spans="1:20" x14ac:dyDescent="0.2">
      <c r="A11" s="35" t="s">
        <v>906</v>
      </c>
      <c r="B11" s="31">
        <f>LSEG!B51</f>
        <v>2.3333333333333335</v>
      </c>
      <c r="C11" s="31">
        <f>LSEG!B52</f>
        <v>2.9333333333333331</v>
      </c>
      <c r="D11" s="31">
        <f>LSEG!B53</f>
        <v>2.0666666666666669</v>
      </c>
      <c r="E11" s="31">
        <f t="shared" si="0"/>
        <v>0.59999999999999964</v>
      </c>
    </row>
    <row r="12" spans="1:20" x14ac:dyDescent="0.2">
      <c r="A12" s="35" t="s">
        <v>907</v>
      </c>
      <c r="B12" s="31">
        <f>Experian!B51</f>
        <v>3.2</v>
      </c>
      <c r="C12" s="31">
        <f>Experian!B52</f>
        <v>3.5333333333333332</v>
      </c>
      <c r="D12" s="31">
        <f>Experian!B53</f>
        <v>2.7333333333333334</v>
      </c>
      <c r="E12" s="31">
        <f t="shared" si="0"/>
        <v>0.33333333333333304</v>
      </c>
    </row>
    <row r="13" spans="1:20" x14ac:dyDescent="0.2">
      <c r="A13" s="35" t="s">
        <v>908</v>
      </c>
      <c r="B13" s="31">
        <f>Wise!B51</f>
        <v>1.6</v>
      </c>
      <c r="C13" s="31">
        <f>Wise!B52</f>
        <v>3.2666666666666666</v>
      </c>
      <c r="D13" s="31">
        <f>Wise!B53</f>
        <v>2.0666666666666669</v>
      </c>
      <c r="E13" s="31">
        <f t="shared" si="0"/>
        <v>1.6666666666666665</v>
      </c>
    </row>
    <row r="15" spans="1:20" x14ac:dyDescent="0.2">
      <c r="A15" s="91" t="s">
        <v>934</v>
      </c>
      <c r="B15" s="91"/>
      <c r="C15" s="91"/>
      <c r="D15" s="91"/>
      <c r="E15" s="91"/>
    </row>
    <row r="16" spans="1:20" x14ac:dyDescent="0.2">
      <c r="A16" s="92" t="s">
        <v>916</v>
      </c>
      <c r="B16" s="30">
        <f>IFERROR(ROUND(AVERAGE(B2:B13),2),"")</f>
        <v>2.48</v>
      </c>
      <c r="C16" s="30">
        <f>IFERROR(ROUND(AVERAGE(C2,C3,C4,C5,C6,C7,C8,C9,C10,C11,C12,C13),2),"")</f>
        <v>3.08</v>
      </c>
      <c r="D16" s="30">
        <f>IFERROR(AVERAGE(D2,D3,D4,D5,D6,D7,D8,D9,D10,D11,D12,D13), "")</f>
        <v>2.15</v>
      </c>
    </row>
    <row r="17" spans="1:34" x14ac:dyDescent="0.2">
      <c r="A17" s="92" t="s">
        <v>929</v>
      </c>
      <c r="B17" s="30">
        <f>ROUND(STDEV(B2:B13),2)</f>
        <v>0.63</v>
      </c>
      <c r="C17" s="30">
        <f>ROUND(STDEV(C2:C13),2)</f>
        <v>0.47</v>
      </c>
      <c r="D17" s="30">
        <f>ROUND(STDEV(D2:D13),2)</f>
        <v>0.45</v>
      </c>
    </row>
    <row r="18" spans="1:34" x14ac:dyDescent="0.2">
      <c r="A18" s="92" t="s">
        <v>930</v>
      </c>
      <c r="B18" s="31">
        <f>ROUND(MIN(B2:B13),2)</f>
        <v>1.27</v>
      </c>
      <c r="C18" s="31">
        <f>ROUND(MIN(C2:C13),2)</f>
        <v>2.33</v>
      </c>
      <c r="D18" s="31">
        <f>ROUND(MIN(D2:D13),2)</f>
        <v>1.27</v>
      </c>
    </row>
    <row r="19" spans="1:34" x14ac:dyDescent="0.2">
      <c r="A19" s="92" t="s">
        <v>931</v>
      </c>
      <c r="B19" s="31">
        <f>ROUND(MAX(B2:B13),2)</f>
        <v>3.2</v>
      </c>
      <c r="C19" s="31">
        <f>ROUND(MAX(C2:C13),2)</f>
        <v>3.8</v>
      </c>
      <c r="D19" s="31">
        <f>ROUND(MAX(D2:D13),2)</f>
        <v>2.73</v>
      </c>
    </row>
    <row r="27" spans="1:34" x14ac:dyDescent="0.2">
      <c r="Q27" s="81" t="s">
        <v>928</v>
      </c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</row>
    <row r="29" spans="1:34" x14ac:dyDescent="0.2">
      <c r="Q29" s="30"/>
      <c r="R29" s="30"/>
      <c r="S29" s="30" t="s">
        <v>897</v>
      </c>
      <c r="T29" s="30" t="s">
        <v>912</v>
      </c>
      <c r="U29" s="30" t="s">
        <v>899</v>
      </c>
      <c r="V29" s="30" t="s">
        <v>900</v>
      </c>
      <c r="W29" s="30" t="s">
        <v>913</v>
      </c>
      <c r="X29" s="30" t="s">
        <v>902</v>
      </c>
      <c r="Y29" s="30" t="s">
        <v>914</v>
      </c>
      <c r="Z29" s="30" t="s">
        <v>915</v>
      </c>
      <c r="AA29" s="30" t="s">
        <v>905</v>
      </c>
      <c r="AB29" s="30" t="s">
        <v>906</v>
      </c>
      <c r="AC29" s="30" t="s">
        <v>907</v>
      </c>
      <c r="AD29" s="30" t="s">
        <v>908</v>
      </c>
      <c r="AE29" s="38" t="s">
        <v>916</v>
      </c>
      <c r="AF29" s="80"/>
      <c r="AG29" s="80"/>
      <c r="AH29" s="80"/>
    </row>
    <row r="30" spans="1:34" x14ac:dyDescent="0.2">
      <c r="Q30" s="30" t="s">
        <v>15</v>
      </c>
      <c r="R30" s="30"/>
      <c r="S30" s="31">
        <f>HSBC!E58</f>
        <v>3.3333333333333335</v>
      </c>
      <c r="T30" s="31">
        <f>Barclays!E58</f>
        <v>3</v>
      </c>
      <c r="U30" s="31">
        <f>Lloyds!E58</f>
        <v>2.3333333333333335</v>
      </c>
      <c r="V30" s="31">
        <f>Aviva!E58</f>
        <v>1</v>
      </c>
      <c r="W30" s="31">
        <f>LG!E58</f>
        <v>2</v>
      </c>
      <c r="X30" s="31">
        <f>Prudential!E58</f>
        <v>2.3333333333333335</v>
      </c>
      <c r="Y30" s="31">
        <f>'3i'!E58</f>
        <v>2</v>
      </c>
      <c r="Z30" s="31">
        <f>MG!E58</f>
        <v>2</v>
      </c>
      <c r="AA30" s="31">
        <f>Schroders!E58</f>
        <v>2.6666666666666665</v>
      </c>
      <c r="AB30" s="31">
        <f>LSEG!E58</f>
        <v>2.3333333333333335</v>
      </c>
      <c r="AC30" s="31">
        <f>Experian!E58</f>
        <v>2.6666666666666665</v>
      </c>
      <c r="AD30" s="31">
        <f>Wise!E58</f>
        <v>2.3333333333333335</v>
      </c>
      <c r="AE30" s="30">
        <f>IFERROR(ROUND(AVERAGE(S30:AD30),2),"")</f>
        <v>2.33</v>
      </c>
    </row>
    <row r="31" spans="1:34" x14ac:dyDescent="0.2">
      <c r="Q31" s="30" t="s">
        <v>31</v>
      </c>
      <c r="R31" s="30"/>
      <c r="S31" s="31">
        <f>HSBC!E59</f>
        <v>2.6666666666666665</v>
      </c>
      <c r="T31" s="31">
        <f>Barclays!E59</f>
        <v>2.6666666666666665</v>
      </c>
      <c r="U31" s="31">
        <f>Lloyds!E59</f>
        <v>3</v>
      </c>
      <c r="V31" s="31">
        <f>Aviva!E59</f>
        <v>1</v>
      </c>
      <c r="W31" s="31">
        <f>LG!E59</f>
        <v>2.3333333333333335</v>
      </c>
      <c r="X31" s="31">
        <f>Prudential!E59</f>
        <v>2.3333333333333335</v>
      </c>
      <c r="Y31" s="31">
        <f>'3i'!E59</f>
        <v>1.3333333333333333</v>
      </c>
      <c r="Z31" s="31">
        <f>MG!E59</f>
        <v>2</v>
      </c>
      <c r="AA31" s="31">
        <f>Schroders!E59</f>
        <v>2.3333333333333335</v>
      </c>
      <c r="AB31" s="31">
        <f>LSEG!E59</f>
        <v>2.6666666666666665</v>
      </c>
      <c r="AC31" s="31">
        <f>Experian!E59</f>
        <v>3</v>
      </c>
      <c r="AD31" s="31">
        <f>Wise!E59</f>
        <v>3</v>
      </c>
      <c r="AE31" s="30">
        <f>IFERROR(ROUND(AVERAGE(S31:AD31),2),"")</f>
        <v>2.36</v>
      </c>
    </row>
    <row r="32" spans="1:34" x14ac:dyDescent="0.2">
      <c r="Q32" s="30" t="s">
        <v>68</v>
      </c>
      <c r="R32" s="30"/>
      <c r="S32" s="31">
        <f>HSBC!E59</f>
        <v>2.6666666666666665</v>
      </c>
      <c r="T32" s="31">
        <f>Barclays!E60</f>
        <v>3</v>
      </c>
      <c r="U32" s="31">
        <f>Lloyds!E60</f>
        <v>2.3333333333333335</v>
      </c>
      <c r="V32" s="31">
        <f>Aviva!E60</f>
        <v>1.6666666666666667</v>
      </c>
      <c r="W32" s="31">
        <f>LG!E60</f>
        <v>2.3333333333333335</v>
      </c>
      <c r="X32" s="31">
        <f>Prudential!E60</f>
        <v>2.6666666666666665</v>
      </c>
      <c r="Y32" s="31">
        <f>'3i'!E60</f>
        <v>1.6666666666666667</v>
      </c>
      <c r="Z32" s="31">
        <f>MG!E60</f>
        <v>2</v>
      </c>
      <c r="AA32" s="31">
        <f>Schroders!E60</f>
        <v>2.6666666666666665</v>
      </c>
      <c r="AB32" s="31">
        <f>LSEG!E60</f>
        <v>2.3333333333333335</v>
      </c>
      <c r="AC32" s="31">
        <f>Experian!E60</f>
        <v>3</v>
      </c>
      <c r="AD32" s="31">
        <f>Wise!E60</f>
        <v>2</v>
      </c>
      <c r="AE32" s="30">
        <f>IFERROR(ROUND(AVERAGE(S32:AD32),2),"")</f>
        <v>2.36</v>
      </c>
    </row>
    <row r="33" spans="3:32" x14ac:dyDescent="0.2">
      <c r="Q33" s="30" t="s">
        <v>44</v>
      </c>
      <c r="R33" s="30"/>
      <c r="S33" s="30">
        <f>HSBC!E61</f>
        <v>2.33</v>
      </c>
      <c r="T33" s="30">
        <f>Barclays!E63</f>
        <v>2.67</v>
      </c>
      <c r="U33" s="30">
        <f>Lloyds!E63</f>
        <v>2.33</v>
      </c>
      <c r="V33" s="30">
        <f>Aviva!E63</f>
        <v>1.33</v>
      </c>
      <c r="W33" s="30">
        <f>LG!E63</f>
        <v>2.33</v>
      </c>
      <c r="X33" s="30">
        <f>Prudential!E63</f>
        <v>2.67</v>
      </c>
      <c r="Y33" s="30">
        <f>'3i'!E63</f>
        <v>1</v>
      </c>
      <c r="Z33" s="30">
        <f>MG!E63</f>
        <v>2.33</v>
      </c>
      <c r="AA33" s="30">
        <f>Schroders!E63</f>
        <v>2</v>
      </c>
      <c r="AB33" s="30">
        <f>LSEG!E63</f>
        <v>1.67</v>
      </c>
      <c r="AC33" s="30">
        <f>Experian!E63</f>
        <v>3</v>
      </c>
      <c r="AD33" s="30">
        <f>Wise!E63</f>
        <v>1.67</v>
      </c>
      <c r="AE33" s="30">
        <f>IFERROR(ROUND(AVERAGE(S33:AD33),2),"")</f>
        <v>2.11</v>
      </c>
    </row>
    <row r="34" spans="3:32" x14ac:dyDescent="0.2">
      <c r="Q34" s="30" t="s">
        <v>909</v>
      </c>
      <c r="R34" s="30"/>
      <c r="S34" s="30">
        <f>HSBC!E62</f>
        <v>1.67</v>
      </c>
      <c r="T34" s="30">
        <f>Barclays!E64</f>
        <v>2</v>
      </c>
      <c r="U34" s="30">
        <f>Lloyds!E64</f>
        <v>1.33</v>
      </c>
      <c r="V34" s="30">
        <f>Aviva!E64</f>
        <v>1.33</v>
      </c>
      <c r="W34" s="30">
        <f>LG!E64</f>
        <v>1.33</v>
      </c>
      <c r="X34" s="30">
        <f>Prudential!E64</f>
        <v>2.33</v>
      </c>
      <c r="Y34" s="30">
        <f>'3i'!E64</f>
        <v>1.33</v>
      </c>
      <c r="Z34" s="30">
        <f>MG!E64</f>
        <v>1.33</v>
      </c>
      <c r="AA34" s="30">
        <f>Schroders!E64</f>
        <v>1.67</v>
      </c>
      <c r="AB34" s="30">
        <f>LSEG!E64</f>
        <v>1.33</v>
      </c>
      <c r="AC34" s="30">
        <f>Experian!E64</f>
        <v>2</v>
      </c>
      <c r="AD34" s="30">
        <f>Wise!E64</f>
        <v>1.33</v>
      </c>
      <c r="AE34" s="30">
        <f>IFERROR(ROUND(AVERAGE(S34:AD34),2),"")</f>
        <v>1.58</v>
      </c>
    </row>
    <row r="41" spans="3:32" x14ac:dyDescent="0.2">
      <c r="AE41" s="38" t="s">
        <v>917</v>
      </c>
    </row>
    <row r="42" spans="3:32" x14ac:dyDescent="0.2">
      <c r="AD42" s="30" t="s">
        <v>15</v>
      </c>
      <c r="AE42" s="30">
        <v>2.33</v>
      </c>
      <c r="AF42">
        <f>(5-AE42)</f>
        <v>2.67</v>
      </c>
    </row>
    <row r="43" spans="3:32" x14ac:dyDescent="0.2">
      <c r="AD43" s="30" t="s">
        <v>31</v>
      </c>
      <c r="AE43" s="30">
        <v>2.36</v>
      </c>
      <c r="AF43">
        <f t="shared" ref="AF43:AF46" si="2">(5-AE43)</f>
        <v>2.64</v>
      </c>
    </row>
    <row r="44" spans="3:32" x14ac:dyDescent="0.2">
      <c r="AD44" s="30" t="s">
        <v>68</v>
      </c>
      <c r="AE44" s="30">
        <v>2.36</v>
      </c>
      <c r="AF44">
        <f t="shared" si="2"/>
        <v>2.64</v>
      </c>
    </row>
    <row r="45" spans="3:32" x14ac:dyDescent="0.2">
      <c r="AD45" s="30" t="s">
        <v>44</v>
      </c>
      <c r="AE45" s="30">
        <v>2.11</v>
      </c>
      <c r="AF45">
        <f t="shared" si="2"/>
        <v>2.89</v>
      </c>
    </row>
    <row r="46" spans="3:32" x14ac:dyDescent="0.2">
      <c r="AD46" s="30" t="s">
        <v>909</v>
      </c>
      <c r="AE46" s="30">
        <v>1.58</v>
      </c>
      <c r="AF46">
        <f t="shared" si="2"/>
        <v>3.42</v>
      </c>
    </row>
    <row r="48" spans="3:32" x14ac:dyDescent="0.2">
      <c r="C48" s="37" t="s">
        <v>918</v>
      </c>
    </row>
    <row r="49" spans="3:4" ht="117" x14ac:dyDescent="0.2">
      <c r="C49" s="6" t="s">
        <v>87</v>
      </c>
      <c r="D49">
        <f>AVERAGE(HSBC:Wise!E21)</f>
        <v>3.75</v>
      </c>
    </row>
    <row r="50" spans="3:4" ht="78" x14ac:dyDescent="0.2">
      <c r="C50" s="6" t="s">
        <v>109</v>
      </c>
      <c r="D50">
        <f>(ROUND(AVERAGE(HSBC:Wise!E27),2))</f>
        <v>3.67</v>
      </c>
    </row>
    <row r="51" spans="3:4" ht="104" x14ac:dyDescent="0.2">
      <c r="C51" s="6" t="s">
        <v>80</v>
      </c>
      <c r="D51">
        <f>(ROUND(AVERAGE(HSBC:Wise!E19),2))</f>
        <v>3.58</v>
      </c>
    </row>
    <row r="52" spans="3:4" ht="104" x14ac:dyDescent="0.2">
      <c r="C52" s="6" t="s">
        <v>84</v>
      </c>
      <c r="D52">
        <f>(ROUND(AVERAGE(HSBC:Wise!E20),2))</f>
        <v>3.5</v>
      </c>
    </row>
    <row r="53" spans="3:4" ht="65" x14ac:dyDescent="0.2">
      <c r="C53" s="6" t="s">
        <v>95</v>
      </c>
      <c r="D53">
        <f>(ROUND(AVERAGE(HSBC:Wise!E23),2))</f>
        <v>1.58</v>
      </c>
    </row>
    <row r="54" spans="3:4" ht="78" x14ac:dyDescent="0.2">
      <c r="C54" s="6" t="s">
        <v>103</v>
      </c>
      <c r="D54">
        <f>(ROUND(AVERAGE(HSBC:Wise!E25),2))</f>
        <v>2.08</v>
      </c>
    </row>
    <row r="55" spans="3:4" ht="78" x14ac:dyDescent="0.2">
      <c r="C55" s="6" t="s">
        <v>121</v>
      </c>
      <c r="D55">
        <f>(ROUND(AVERAGE(HSBC:Wise!E30),2))</f>
        <v>2.25</v>
      </c>
    </row>
    <row r="56" spans="3:4" ht="52" x14ac:dyDescent="0.2">
      <c r="C56" s="6" t="s">
        <v>127</v>
      </c>
      <c r="D56">
        <f>(ROUND(AVERAGE(HSBC:Wise!E32),2))</f>
        <v>2.5</v>
      </c>
    </row>
    <row r="64" spans="3:4" x14ac:dyDescent="0.2">
      <c r="C64" s="37" t="s">
        <v>919</v>
      </c>
    </row>
    <row r="65" spans="3:4" ht="130" x14ac:dyDescent="0.2">
      <c r="C65" s="6" t="s">
        <v>16</v>
      </c>
      <c r="D65">
        <f>(ROUND(AVERAGE(HSBC:Wise!E4),2))</f>
        <v>3</v>
      </c>
    </row>
    <row r="66" spans="3:4" ht="104" x14ac:dyDescent="0.2">
      <c r="C66" s="6" t="s">
        <v>920</v>
      </c>
      <c r="D66">
        <f>(ROUND(AVERAGE(HSBC:Wise!E5),2))</f>
        <v>3</v>
      </c>
    </row>
    <row r="67" spans="3:4" ht="130" x14ac:dyDescent="0.2">
      <c r="C67" s="6" t="s">
        <v>36</v>
      </c>
      <c r="D67">
        <f>(ROUND(AVERAGE(Worksheet:HSBC!E8),2))</f>
        <v>2.82</v>
      </c>
    </row>
    <row r="68" spans="3:4" ht="91" x14ac:dyDescent="0.2">
      <c r="C68" s="6" t="s">
        <v>61</v>
      </c>
      <c r="D68">
        <f>(ROUND(AVERAGE(HSBC:Wise!E14),2))</f>
        <v>1.75</v>
      </c>
    </row>
    <row r="69" spans="3:4" ht="91" x14ac:dyDescent="0.2">
      <c r="C69" s="6" t="s">
        <v>72</v>
      </c>
      <c r="D69">
        <f>(ROUND(AVERAGE(HSBC:Wise!E17),2))</f>
        <v>1.75</v>
      </c>
    </row>
    <row r="70" spans="3:4" ht="65" x14ac:dyDescent="0.2">
      <c r="C70" s="39" t="s">
        <v>921</v>
      </c>
      <c r="D70">
        <f>(ROUND(AVERAGE(HSBC:Wise!E7),2))</f>
        <v>2.83</v>
      </c>
    </row>
  </sheetData>
  <mergeCells count="2">
    <mergeCell ref="Q27:AE27"/>
    <mergeCell ref="A15:E15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8BA3-9670-B044-93C4-A8FE6B67DC61}">
  <dimension ref="A1:Q55"/>
  <sheetViews>
    <sheetView tabSelected="1" zoomScale="62" workbookViewId="0">
      <selection activeCell="O11" sqref="O11"/>
    </sheetView>
  </sheetViews>
  <sheetFormatPr baseColWidth="10" defaultRowHeight="16" x14ac:dyDescent="0.2"/>
  <cols>
    <col min="1" max="1" width="7.5" bestFit="1" customWidth="1"/>
    <col min="2" max="2" width="35.5" bestFit="1" customWidth="1"/>
    <col min="3" max="3" width="6" style="58" bestFit="1" customWidth="1"/>
    <col min="4" max="4" width="8.33203125" style="58" bestFit="1" customWidth="1"/>
    <col min="5" max="5" width="6.83203125" style="58" bestFit="1" customWidth="1"/>
    <col min="6" max="6" width="5.6640625" style="64" bestFit="1" customWidth="1"/>
    <col min="7" max="7" width="3.5" style="64" bestFit="1" customWidth="1"/>
    <col min="8" max="8" width="10.1640625" style="64" bestFit="1" customWidth="1"/>
    <col min="9" max="9" width="2.83203125" style="70" bestFit="1" customWidth="1"/>
    <col min="10" max="10" width="4" style="70" bestFit="1" customWidth="1"/>
    <col min="11" max="11" width="10" style="70" bestFit="1" customWidth="1"/>
    <col min="12" max="12" width="5.6640625" style="76" bestFit="1" customWidth="1"/>
    <col min="13" max="13" width="8.83203125" style="76" bestFit="1" customWidth="1"/>
    <col min="14" max="14" width="5.5" style="76" bestFit="1" customWidth="1"/>
    <col min="15" max="15" width="5.6640625" style="42" bestFit="1" customWidth="1"/>
    <col min="16" max="16" width="9" style="42" bestFit="1" customWidth="1"/>
    <col min="17" max="17" width="9.6640625" bestFit="1" customWidth="1"/>
  </cols>
  <sheetData>
    <row r="1" spans="1:17" x14ac:dyDescent="0.2">
      <c r="A1" s="47"/>
      <c r="B1" s="47"/>
      <c r="C1" s="53" t="s">
        <v>897</v>
      </c>
      <c r="D1" s="53" t="s">
        <v>898</v>
      </c>
      <c r="E1" s="53" t="s">
        <v>899</v>
      </c>
      <c r="F1" s="59" t="s">
        <v>900</v>
      </c>
      <c r="G1" s="59" t="s">
        <v>913</v>
      </c>
      <c r="H1" s="59" t="s">
        <v>902</v>
      </c>
      <c r="I1" s="65" t="s">
        <v>914</v>
      </c>
      <c r="J1" s="65" t="s">
        <v>915</v>
      </c>
      <c r="K1" s="65" t="s">
        <v>905</v>
      </c>
      <c r="L1" s="71" t="s">
        <v>906</v>
      </c>
      <c r="M1" s="71" t="s">
        <v>907</v>
      </c>
      <c r="N1" s="71" t="s">
        <v>908</v>
      </c>
      <c r="O1" s="44" t="s">
        <v>916</v>
      </c>
      <c r="P1" s="44" t="s">
        <v>926</v>
      </c>
      <c r="Q1" s="78" t="s">
        <v>927</v>
      </c>
    </row>
    <row r="2" spans="1:17" x14ac:dyDescent="0.2">
      <c r="A2" s="51" t="s">
        <v>6</v>
      </c>
      <c r="B2" s="50" t="s">
        <v>923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</row>
    <row r="3" spans="1:17" ht="26" x14ac:dyDescent="0.2">
      <c r="A3" s="48" t="s">
        <v>14</v>
      </c>
      <c r="B3" s="49" t="s">
        <v>16</v>
      </c>
      <c r="C3" s="54">
        <f>VLOOKUP($B3, HSBC!$D:$E, 2, FALSE)</f>
        <v>3</v>
      </c>
      <c r="D3" s="54">
        <f>VLOOKUP($B3, Barclays!$D:$E, 2, FALSE)</f>
        <v>4</v>
      </c>
      <c r="E3" s="54">
        <f>VLOOKUP($B3, Lloyds!$D:$E, 2, FALSE)</f>
        <v>4</v>
      </c>
      <c r="F3" s="60">
        <f>VLOOKUP($B3, Aviva!$D:$E, 2, FALSE)</f>
        <v>2</v>
      </c>
      <c r="G3" s="60">
        <f>VLOOKUP($B3, LG!$D:$E, 2, FALSE)</f>
        <v>3</v>
      </c>
      <c r="H3" s="60">
        <f>VLOOKUP($B3, Prudential!$D:$E, 2, FALSE)</f>
        <v>4</v>
      </c>
      <c r="I3" s="66">
        <f>VLOOKUP($B3, '3i'!$D:$E, 2, FALSE)</f>
        <v>2</v>
      </c>
      <c r="J3" s="66">
        <f>VLOOKUP($B3, MG!$D:$E, 2, FALSE)</f>
        <v>3</v>
      </c>
      <c r="K3" s="66">
        <f>VLOOKUP($B3, Schroders!$D:$E, 2, FALSE)</f>
        <v>4</v>
      </c>
      <c r="L3" s="72">
        <f>VLOOKUP($B3, LSEG!$D:$E, 2, FALSE)</f>
        <v>2</v>
      </c>
      <c r="M3" s="72">
        <f>VLOOKUP($B3, Experian!$D:$E, 2, FALSE)</f>
        <v>4</v>
      </c>
      <c r="N3" s="72">
        <f>VLOOKUP($B3, Wise!$D:$E, 2, FALSE)</f>
        <v>1</v>
      </c>
      <c r="O3" s="45">
        <f t="shared" ref="O3:O17" si="0">ROUND(AVERAGE($C3:$N3), 2)</f>
        <v>3</v>
      </c>
      <c r="P3" s="45" t="str">
        <f t="shared" ref="P3:P17" si="1">COUNTIF($C3:$N3, "&gt;=3") &amp; "/12"</f>
        <v>8/12</v>
      </c>
      <c r="Q3" s="45" t="str">
        <f>COUNTIF($C3:$N3, "&gt;=4") &amp; "/12"</f>
        <v>5/12</v>
      </c>
    </row>
    <row r="4" spans="1:17" ht="39" x14ac:dyDescent="0.2">
      <c r="A4" s="30" t="s">
        <v>21</v>
      </c>
      <c r="B4" s="40" t="s">
        <v>22</v>
      </c>
      <c r="C4" s="55">
        <f>VLOOKUP($B4, HSBC!$D:$E, 2, FALSE)</f>
        <v>3</v>
      </c>
      <c r="D4" s="55">
        <f>VLOOKUP($B4, Barclays!$D:$E, 2, FALSE)</f>
        <v>4</v>
      </c>
      <c r="E4" s="55">
        <f>VLOOKUP($B4, Lloyds!$D:$E, 2, FALSE)</f>
        <v>4</v>
      </c>
      <c r="F4" s="61">
        <f>VLOOKUP($B4, Aviva!$D:$E, 2, FALSE)</f>
        <v>2</v>
      </c>
      <c r="G4" s="61">
        <f>VLOOKUP($B4, LG!$D:$E, 2, FALSE)</f>
        <v>3</v>
      </c>
      <c r="H4" s="61">
        <f>VLOOKUP($B4, Prudential!$D:$E, 2, FALSE)</f>
        <v>3</v>
      </c>
      <c r="I4" s="67">
        <f>VLOOKUP($B4, '3i'!$D:$E, 2, FALSE)</f>
        <v>2</v>
      </c>
      <c r="J4" s="67">
        <f>VLOOKUP($B4, MG!$D:$E, 2, FALSE)</f>
        <v>3</v>
      </c>
      <c r="K4" s="67">
        <f>VLOOKUP($B4, Schroders!$D:$E, 2, FALSE)</f>
        <v>4</v>
      </c>
      <c r="L4" s="73">
        <f>VLOOKUP($B4, LSEG!$D:$E, 2, FALSE)</f>
        <v>2</v>
      </c>
      <c r="M4" s="73">
        <f>VLOOKUP($B4, Experian!$D:$E, 2, FALSE)</f>
        <v>4</v>
      </c>
      <c r="N4" s="73">
        <f>VLOOKUP($B4, Wise!$D:$E, 2, FALSE)</f>
        <v>2</v>
      </c>
      <c r="O4" s="43">
        <f t="shared" si="0"/>
        <v>3</v>
      </c>
      <c r="P4" s="43" t="str">
        <f t="shared" si="1"/>
        <v>8/12</v>
      </c>
      <c r="Q4" s="45" t="str">
        <f t="shared" ref="Q4:Q49" si="2">COUNTIF($C4:$N4, "&gt;=4") &amp; "/12"</f>
        <v>4/12</v>
      </c>
    </row>
    <row r="5" spans="1:17" ht="26" x14ac:dyDescent="0.2">
      <c r="A5" s="30" t="s">
        <v>26</v>
      </c>
      <c r="B5" s="40" t="s">
        <v>27</v>
      </c>
      <c r="C5" s="55">
        <f>VLOOKUP($B5, HSBC!$D:$E, 2, FALSE)</f>
        <v>4</v>
      </c>
      <c r="D5" s="55">
        <f>VLOOKUP($B5, Barclays!$D:$E, 2, FALSE)</f>
        <v>3</v>
      </c>
      <c r="E5" s="55">
        <f>VLOOKUP($B5, Lloyds!$D:$E, 2, FALSE)</f>
        <v>3</v>
      </c>
      <c r="F5" s="61">
        <f>VLOOKUP($B5, Aviva!$D:$E, 2, FALSE)</f>
        <v>2</v>
      </c>
      <c r="G5" s="61">
        <f>VLOOKUP($B5, LG!$D:$E, 2, FALSE)</f>
        <v>3</v>
      </c>
      <c r="H5" s="61">
        <f>VLOOKUP($B5, Prudential!$D:$E, 2, FALSE)</f>
        <v>3</v>
      </c>
      <c r="I5" s="67">
        <f>VLOOKUP($B5, '3i'!$D:$E, 2, FALSE)</f>
        <v>1</v>
      </c>
      <c r="J5" s="67">
        <f>VLOOKUP($B5, MG!$D:$E, 2, FALSE)</f>
        <v>3</v>
      </c>
      <c r="K5" s="67">
        <f>VLOOKUP($B5, Schroders!$D:$E, 2, FALSE)</f>
        <v>3</v>
      </c>
      <c r="L5" s="73">
        <f>VLOOKUP($B5, LSEG!$D:$E, 2, FALSE)</f>
        <v>2</v>
      </c>
      <c r="M5" s="73">
        <f>VLOOKUP($B5, Experian!$D:$E, 2, FALSE)</f>
        <v>3</v>
      </c>
      <c r="N5" s="73">
        <f>VLOOKUP($B5, Wise!$D:$E, 2, FALSE)</f>
        <v>1</v>
      </c>
      <c r="O5" s="43">
        <f t="shared" si="0"/>
        <v>2.58</v>
      </c>
      <c r="P5" s="43" t="str">
        <f t="shared" si="1"/>
        <v>8/12</v>
      </c>
      <c r="Q5" s="45" t="str">
        <f t="shared" si="2"/>
        <v>1/12</v>
      </c>
    </row>
    <row r="6" spans="1:17" ht="26" x14ac:dyDescent="0.2">
      <c r="A6" s="30" t="s">
        <v>30</v>
      </c>
      <c r="B6" s="40" t="s">
        <v>32</v>
      </c>
      <c r="C6" s="55">
        <f>VLOOKUP($B6, HSBC!$D:$E, 2, FALSE)</f>
        <v>3</v>
      </c>
      <c r="D6" s="55">
        <f>VLOOKUP($B6, Barclays!$D:$E, 2, FALSE)</f>
        <v>3</v>
      </c>
      <c r="E6" s="55">
        <f>VLOOKUP($B6, Lloyds!$D:$E, 2, FALSE)</f>
        <v>3</v>
      </c>
      <c r="F6" s="61">
        <f>VLOOKUP($B6, Aviva!$D:$E, 2, FALSE)</f>
        <v>2</v>
      </c>
      <c r="G6" s="61">
        <f>VLOOKUP($B6, LG!$D:$E, 2, FALSE)</f>
        <v>3</v>
      </c>
      <c r="H6" s="61">
        <f>VLOOKUP($B6, Prudential!$D:$E, 2, FALSE)</f>
        <v>3</v>
      </c>
      <c r="I6" s="67">
        <f>VLOOKUP($B6, '3i'!$D:$E, 2, FALSE)</f>
        <v>2</v>
      </c>
      <c r="J6" s="67">
        <f>VLOOKUP($B6, MG!$D:$E, 2, FALSE)</f>
        <v>3</v>
      </c>
      <c r="K6" s="67">
        <f>VLOOKUP($B6, Schroders!$D:$E, 2, FALSE)</f>
        <v>3</v>
      </c>
      <c r="L6" s="73">
        <f>VLOOKUP($B6, LSEG!$D:$E, 2, FALSE)</f>
        <v>3</v>
      </c>
      <c r="M6" s="73">
        <f>VLOOKUP($B6, Experian!$D:$E, 2, FALSE)</f>
        <v>4</v>
      </c>
      <c r="N6" s="73">
        <f>VLOOKUP($B6, Wise!$D:$E, 2, FALSE)</f>
        <v>2</v>
      </c>
      <c r="O6" s="43">
        <f t="shared" si="0"/>
        <v>2.83</v>
      </c>
      <c r="P6" s="43" t="str">
        <f t="shared" si="1"/>
        <v>9/12</v>
      </c>
      <c r="Q6" s="45" t="str">
        <f t="shared" si="2"/>
        <v>1/12</v>
      </c>
    </row>
    <row r="7" spans="1:17" ht="26" x14ac:dyDescent="0.2">
      <c r="A7" s="30" t="s">
        <v>35</v>
      </c>
      <c r="B7" s="40" t="s">
        <v>36</v>
      </c>
      <c r="C7" s="55">
        <f>VLOOKUP($B7, HSBC!$D:$E, 2, FALSE)</f>
        <v>4</v>
      </c>
      <c r="D7" s="55">
        <f>VLOOKUP($B7, Barclays!$D:$E, 2, FALSE)</f>
        <v>4</v>
      </c>
      <c r="E7" s="55">
        <f>VLOOKUP($B7, Lloyds!$D:$E, 2, FALSE)</f>
        <v>4</v>
      </c>
      <c r="F7" s="61">
        <f>VLOOKUP($B7, Aviva!$D:$E, 2, FALSE)</f>
        <v>2</v>
      </c>
      <c r="G7" s="61">
        <f>VLOOKUP($B7, LG!$D:$E, 2, FALSE)</f>
        <v>3</v>
      </c>
      <c r="H7" s="61">
        <f>VLOOKUP($B7, Prudential!$D:$E, 2, FALSE)</f>
        <v>3</v>
      </c>
      <c r="I7" s="67">
        <f>VLOOKUP($B7, '3i'!$D:$E, 2, FALSE)</f>
        <v>1</v>
      </c>
      <c r="J7" s="67">
        <f>VLOOKUP($B7, MG!$D:$E, 2, FALSE)</f>
        <v>2</v>
      </c>
      <c r="K7" s="67">
        <f>VLOOKUP($B7, Schroders!$D:$E, 2, FALSE)</f>
        <v>2</v>
      </c>
      <c r="L7" s="73">
        <f>VLOOKUP($B7, LSEG!$D:$E, 2, FALSE)</f>
        <v>4</v>
      </c>
      <c r="M7" s="73">
        <f>VLOOKUP($B7, Experian!$D:$E, 2, FALSE)</f>
        <v>3</v>
      </c>
      <c r="N7" s="73">
        <f>VLOOKUP($B7, Wise!$D:$E, 2, FALSE)</f>
        <v>2</v>
      </c>
      <c r="O7" s="43">
        <f t="shared" si="0"/>
        <v>2.83</v>
      </c>
      <c r="P7" s="43" t="str">
        <f t="shared" si="1"/>
        <v>7/12</v>
      </c>
      <c r="Q7" s="45" t="str">
        <f t="shared" si="2"/>
        <v>4/12</v>
      </c>
    </row>
    <row r="8" spans="1:17" x14ac:dyDescent="0.2">
      <c r="A8" s="30" t="s">
        <v>39</v>
      </c>
      <c r="B8" s="40" t="s">
        <v>40</v>
      </c>
      <c r="C8" s="55">
        <f>VLOOKUP($B8, HSBC!$D:$E, 2, FALSE)</f>
        <v>3</v>
      </c>
      <c r="D8" s="55">
        <f>VLOOKUP($B8, Barclays!$D:$E, 2, FALSE)</f>
        <v>3</v>
      </c>
      <c r="E8" s="55">
        <f>VLOOKUP($B8, Lloyds!$D:$E, 2, FALSE)</f>
        <v>3</v>
      </c>
      <c r="F8" s="61">
        <f>VLOOKUP($B8, Aviva!$D:$E, 2, FALSE)</f>
        <v>2</v>
      </c>
      <c r="G8" s="61">
        <f>VLOOKUP($B8, LG!$D:$E, 2, FALSE)</f>
        <v>3</v>
      </c>
      <c r="H8" s="61">
        <f>VLOOKUP($B8, Prudential!$D:$E, 2, FALSE)</f>
        <v>3</v>
      </c>
      <c r="I8" s="67">
        <f>VLOOKUP($B8, '3i'!$D:$E, 2, FALSE)</f>
        <v>1</v>
      </c>
      <c r="J8" s="67">
        <f>VLOOKUP($B8, MG!$D:$E, 2, FALSE)</f>
        <v>2</v>
      </c>
      <c r="K8" s="67">
        <f>VLOOKUP($B8, Schroders!$D:$E, 2, FALSE)</f>
        <v>2</v>
      </c>
      <c r="L8" s="73">
        <f>VLOOKUP($B8, LSEG!$D:$E, 2, FALSE)</f>
        <v>4</v>
      </c>
      <c r="M8" s="73">
        <f>VLOOKUP($B8, Experian!$D:$E, 2, FALSE)</f>
        <v>2</v>
      </c>
      <c r="N8" s="73">
        <f>VLOOKUP($B8, Wise!$D:$E, 2, FALSE)</f>
        <v>1</v>
      </c>
      <c r="O8" s="43">
        <f t="shared" si="0"/>
        <v>2.42</v>
      </c>
      <c r="P8" s="43" t="str">
        <f t="shared" si="1"/>
        <v>6/12</v>
      </c>
      <c r="Q8" s="45" t="str">
        <f t="shared" si="2"/>
        <v>1/12</v>
      </c>
    </row>
    <row r="9" spans="1:17" ht="26" x14ac:dyDescent="0.2">
      <c r="A9" s="30" t="s">
        <v>43</v>
      </c>
      <c r="B9" s="40" t="s">
        <v>45</v>
      </c>
      <c r="C9" s="55">
        <f>VLOOKUP($B9, HSBC!$D:$E, 2, FALSE)</f>
        <v>3</v>
      </c>
      <c r="D9" s="55">
        <f>VLOOKUP($B9, Barclays!$D:$E, 2, FALSE)</f>
        <v>3</v>
      </c>
      <c r="E9" s="55">
        <f>VLOOKUP($B9, Lloyds!$D:$E, 2, FALSE)</f>
        <v>3</v>
      </c>
      <c r="F9" s="61">
        <f>VLOOKUP($B9, Aviva!$D:$E, 2, FALSE)</f>
        <v>2</v>
      </c>
      <c r="G9" s="61">
        <f>VLOOKUP($B9, LG!$D:$E, 2, FALSE)</f>
        <v>3</v>
      </c>
      <c r="H9" s="61">
        <f>VLOOKUP($B9, Prudential!$D:$E, 2, FALSE)</f>
        <v>3</v>
      </c>
      <c r="I9" s="67">
        <f>VLOOKUP($B9, '3i'!$D:$E, 2, FALSE)</f>
        <v>1</v>
      </c>
      <c r="J9" s="67">
        <f>VLOOKUP($B9, MG!$D:$E, 2, FALSE)</f>
        <v>2</v>
      </c>
      <c r="K9" s="67">
        <f>VLOOKUP($B9, Schroders!$D:$E, 2, FALSE)</f>
        <v>3</v>
      </c>
      <c r="L9" s="73">
        <f>VLOOKUP($B9, LSEG!$D:$E, 2, FALSE)</f>
        <v>3</v>
      </c>
      <c r="M9" s="73">
        <f>VLOOKUP($B9, Experian!$D:$E, 2, FALSE)</f>
        <v>4</v>
      </c>
      <c r="N9" s="73">
        <f>VLOOKUP($B9, Wise!$D:$E, 2, FALSE)</f>
        <v>1</v>
      </c>
      <c r="O9" s="43">
        <f t="shared" si="0"/>
        <v>2.58</v>
      </c>
      <c r="P9" s="43" t="str">
        <f t="shared" si="1"/>
        <v>8/12</v>
      </c>
      <c r="Q9" s="45" t="str">
        <f t="shared" si="2"/>
        <v>1/12</v>
      </c>
    </row>
    <row r="10" spans="1:17" ht="26" x14ac:dyDescent="0.2">
      <c r="A10" s="30" t="s">
        <v>47</v>
      </c>
      <c r="B10" s="40" t="s">
        <v>48</v>
      </c>
      <c r="C10" s="55">
        <f>VLOOKUP($B10, HSBC!$D:$E, 2, FALSE)</f>
        <v>3</v>
      </c>
      <c r="D10" s="55">
        <f>VLOOKUP($B10, Barclays!$D:$E, 2, FALSE)</f>
        <v>3</v>
      </c>
      <c r="E10" s="55">
        <f>VLOOKUP($B10, Lloyds!$D:$E, 2, FALSE)</f>
        <v>3</v>
      </c>
      <c r="F10" s="61">
        <f>VLOOKUP($B10, Aviva!$D:$E, 2, FALSE)</f>
        <v>2</v>
      </c>
      <c r="G10" s="61">
        <f>VLOOKUP($B10, LG!$D:$E, 2, FALSE)</f>
        <v>2</v>
      </c>
      <c r="H10" s="61">
        <f>VLOOKUP($B10, Prudential!$D:$E, 2, FALSE)</f>
        <v>3</v>
      </c>
      <c r="I10" s="67">
        <f>VLOOKUP($B10, '3i'!$D:$E, 2, FALSE)</f>
        <v>1</v>
      </c>
      <c r="J10" s="67">
        <f>VLOOKUP($B10, MG!$D:$E, 2, FALSE)</f>
        <v>2</v>
      </c>
      <c r="K10" s="67">
        <f>VLOOKUP($B10, Schroders!$D:$E, 2, FALSE)</f>
        <v>3</v>
      </c>
      <c r="L10" s="73">
        <f>VLOOKUP($B10, LSEG!$D:$E, 2, FALSE)</f>
        <v>2</v>
      </c>
      <c r="M10" s="73">
        <f>VLOOKUP($B10, Experian!$D:$E, 2, FALSE)</f>
        <v>4</v>
      </c>
      <c r="N10" s="73">
        <f>VLOOKUP($B10, Wise!$D:$E, 2, FALSE)</f>
        <v>2</v>
      </c>
      <c r="O10" s="43">
        <f t="shared" si="0"/>
        <v>2.5</v>
      </c>
      <c r="P10" s="43" t="str">
        <f t="shared" si="1"/>
        <v>6/12</v>
      </c>
      <c r="Q10" s="45" t="str">
        <f t="shared" si="2"/>
        <v>1/12</v>
      </c>
    </row>
    <row r="11" spans="1:17" ht="26" x14ac:dyDescent="0.2">
      <c r="A11" s="30" t="s">
        <v>51</v>
      </c>
      <c r="B11" s="40" t="s">
        <v>52</v>
      </c>
      <c r="C11" s="55">
        <f>VLOOKUP($B11, HSBC!$D:$E, 2, FALSE)</f>
        <v>2</v>
      </c>
      <c r="D11" s="55">
        <f>VLOOKUP($B11, Barclays!$D:$E, 2, FALSE)</f>
        <v>2</v>
      </c>
      <c r="E11" s="55">
        <f>VLOOKUP($B11, Lloyds!$D:$E, 2, FALSE)</f>
        <v>3</v>
      </c>
      <c r="F11" s="61">
        <f>VLOOKUP($B11, Aviva!$D:$E, 2, FALSE)</f>
        <v>2</v>
      </c>
      <c r="G11" s="61">
        <f>VLOOKUP($B11, LG!$D:$E, 2, FALSE)</f>
        <v>2</v>
      </c>
      <c r="H11" s="61">
        <f>VLOOKUP($B11, Prudential!$D:$E, 2, FALSE)</f>
        <v>3</v>
      </c>
      <c r="I11" s="67">
        <f>VLOOKUP($B11, '3i'!$D:$E, 2, FALSE)</f>
        <v>1</v>
      </c>
      <c r="J11" s="67">
        <f>VLOOKUP($B11, MG!$D:$E, 2, FALSE)</f>
        <v>2</v>
      </c>
      <c r="K11" s="67">
        <f>VLOOKUP($B11, Schroders!$D:$E, 2, FALSE)</f>
        <v>2</v>
      </c>
      <c r="L11" s="73">
        <f>VLOOKUP($B11, LSEG!$D:$E, 2, FALSE)</f>
        <v>1</v>
      </c>
      <c r="M11" s="73">
        <f>VLOOKUP($B11, Experian!$D:$E, 2, FALSE)</f>
        <v>3</v>
      </c>
      <c r="N11" s="73">
        <f>VLOOKUP($B11, Wise!$D:$E, 2, FALSE)</f>
        <v>2</v>
      </c>
      <c r="O11" s="43">
        <f t="shared" si="0"/>
        <v>2.08</v>
      </c>
      <c r="P11" s="43" t="str">
        <f t="shared" si="1"/>
        <v>3/12</v>
      </c>
      <c r="Q11" s="45" t="str">
        <f t="shared" si="2"/>
        <v>0/12</v>
      </c>
    </row>
    <row r="12" spans="1:17" x14ac:dyDescent="0.2">
      <c r="A12" s="30" t="s">
        <v>55</v>
      </c>
      <c r="B12" s="40" t="s">
        <v>57</v>
      </c>
      <c r="C12" s="55">
        <f>VLOOKUP($B12, HSBC!$D:$E, 2, FALSE)</f>
        <v>2</v>
      </c>
      <c r="D12" s="55">
        <f>VLOOKUP($B12, Barclays!$D:$E, 2, FALSE)</f>
        <v>3</v>
      </c>
      <c r="E12" s="55">
        <f>VLOOKUP($B12, Lloyds!$D:$E, 2, FALSE)</f>
        <v>3</v>
      </c>
      <c r="F12" s="61">
        <f>VLOOKUP($B12, Aviva!$D:$E, 2, FALSE)</f>
        <v>1</v>
      </c>
      <c r="G12" s="61">
        <f>VLOOKUP($B12, LG!$D:$E, 2, FALSE)</f>
        <v>2</v>
      </c>
      <c r="H12" s="61">
        <f>VLOOKUP($B12, Prudential!$D:$E, 2, FALSE)</f>
        <v>3</v>
      </c>
      <c r="I12" s="67">
        <f>VLOOKUP($B12, '3i'!$D:$E, 2, FALSE)</f>
        <v>1</v>
      </c>
      <c r="J12" s="67">
        <f>VLOOKUP($B12, MG!$D:$E, 2, FALSE)</f>
        <v>2</v>
      </c>
      <c r="K12" s="67">
        <f>VLOOKUP($B12, Schroders!$D:$E, 2, FALSE)</f>
        <v>3</v>
      </c>
      <c r="L12" s="73">
        <f>VLOOKUP($B12, LSEG!$D:$E, 2, FALSE)</f>
        <v>1</v>
      </c>
      <c r="M12" s="73">
        <f>VLOOKUP($B12, Experian!$D:$E, 2, FALSE)</f>
        <v>3</v>
      </c>
      <c r="N12" s="73">
        <f>VLOOKUP($B12, Wise!$D:$E, 2, FALSE)</f>
        <v>2</v>
      </c>
      <c r="O12" s="43">
        <f t="shared" si="0"/>
        <v>2.17</v>
      </c>
      <c r="P12" s="43" t="str">
        <f t="shared" si="1"/>
        <v>5/12</v>
      </c>
      <c r="Q12" s="45" t="str">
        <f t="shared" si="2"/>
        <v>0/12</v>
      </c>
    </row>
    <row r="13" spans="1:17" ht="26" x14ac:dyDescent="0.2">
      <c r="A13" s="30" t="s">
        <v>60</v>
      </c>
      <c r="B13" s="40" t="s">
        <v>61</v>
      </c>
      <c r="C13" s="55">
        <f>VLOOKUP($B13, HSBC!$D:$E, 2, FALSE)</f>
        <v>2</v>
      </c>
      <c r="D13" s="55">
        <f>VLOOKUP($B13, Barclays!$D:$E, 2, FALSE)</f>
        <v>2</v>
      </c>
      <c r="E13" s="55">
        <f>VLOOKUP($B13, Lloyds!$D:$E, 2, FALSE)</f>
        <v>2</v>
      </c>
      <c r="F13" s="61">
        <f>VLOOKUP($B13, Aviva!$D:$E, 2, FALSE)</f>
        <v>1</v>
      </c>
      <c r="G13" s="61">
        <f>VLOOKUP($B13, LG!$D:$E, 2, FALSE)</f>
        <v>2</v>
      </c>
      <c r="H13" s="61">
        <f>VLOOKUP($B13, Prudential!$D:$E, 2, FALSE)</f>
        <v>2</v>
      </c>
      <c r="I13" s="67">
        <f>VLOOKUP($B13, '3i'!$D:$E, 2, FALSE)</f>
        <v>1</v>
      </c>
      <c r="J13" s="67">
        <f>VLOOKUP($B13, MG!$D:$E, 2, FALSE)</f>
        <v>2</v>
      </c>
      <c r="K13" s="67">
        <f>VLOOKUP($B13, Schroders!$D:$E, 2, FALSE)</f>
        <v>2</v>
      </c>
      <c r="L13" s="73">
        <f>VLOOKUP($B13, LSEG!$D:$E, 2, FALSE)</f>
        <v>1</v>
      </c>
      <c r="M13" s="73">
        <f>VLOOKUP($B13, Experian!$D:$E, 2, FALSE)</f>
        <v>3</v>
      </c>
      <c r="N13" s="73">
        <f>VLOOKUP($B13, Wise!$D:$E, 2, FALSE)</f>
        <v>1</v>
      </c>
      <c r="O13" s="43">
        <f t="shared" si="0"/>
        <v>1.75</v>
      </c>
      <c r="P13" s="43" t="str">
        <f t="shared" si="1"/>
        <v>1/12</v>
      </c>
      <c r="Q13" s="45" t="str">
        <f t="shared" si="2"/>
        <v>0/12</v>
      </c>
    </row>
    <row r="14" spans="1:17" x14ac:dyDescent="0.2">
      <c r="A14" s="30" t="s">
        <v>63</v>
      </c>
      <c r="B14" s="40" t="s">
        <v>64</v>
      </c>
      <c r="C14" s="55">
        <f>VLOOKUP($B14, HSBC!$D:$E, 2, FALSE)</f>
        <v>2</v>
      </c>
      <c r="D14" s="55">
        <f>VLOOKUP($B14, Barclays!$D:$E, 2, FALSE)</f>
        <v>3</v>
      </c>
      <c r="E14" s="55">
        <f>VLOOKUP($B14, Lloyds!$D:$E, 2, FALSE)</f>
        <v>2</v>
      </c>
      <c r="F14" s="61">
        <f>VLOOKUP($B14, Aviva!$D:$E, 2, FALSE)</f>
        <v>2</v>
      </c>
      <c r="G14" s="61">
        <f>VLOOKUP($B14, LG!$D:$E, 2, FALSE)</f>
        <v>2</v>
      </c>
      <c r="H14" s="61">
        <f>VLOOKUP($B14, Prudential!$D:$E, 2, FALSE)</f>
        <v>4</v>
      </c>
      <c r="I14" s="67">
        <f>VLOOKUP($B14, '3i'!$D:$E, 2, FALSE)</f>
        <v>2</v>
      </c>
      <c r="J14" s="67">
        <f>VLOOKUP($B14, MG!$D:$E, 2, FALSE)</f>
        <v>2</v>
      </c>
      <c r="K14" s="67">
        <f>VLOOKUP($B14, Schroders!$D:$E, 2, FALSE)</f>
        <v>3</v>
      </c>
      <c r="L14" s="73">
        <f>VLOOKUP($B14, LSEG!$D:$E, 2, FALSE)</f>
        <v>2</v>
      </c>
      <c r="M14" s="73">
        <f>VLOOKUP($B14, Experian!$D:$E, 2, FALSE)</f>
        <v>3</v>
      </c>
      <c r="N14" s="73">
        <f>VLOOKUP($B14, Wise!$D:$E, 2, FALSE)</f>
        <v>2</v>
      </c>
      <c r="O14" s="43">
        <f t="shared" si="0"/>
        <v>2.42</v>
      </c>
      <c r="P14" s="43" t="str">
        <f t="shared" si="1"/>
        <v>4/12</v>
      </c>
      <c r="Q14" s="45" t="str">
        <f t="shared" si="2"/>
        <v>1/12</v>
      </c>
    </row>
    <row r="15" spans="1:17" ht="26" x14ac:dyDescent="0.2">
      <c r="A15" s="30" t="s">
        <v>67</v>
      </c>
      <c r="B15" s="40" t="s">
        <v>69</v>
      </c>
      <c r="C15" s="55">
        <f>VLOOKUP($B15, HSBC!$D:$E, 2, FALSE)</f>
        <v>3</v>
      </c>
      <c r="D15" s="55">
        <f>VLOOKUP($B15, Barclays!$D:$E, 2, FALSE)</f>
        <v>3</v>
      </c>
      <c r="E15" s="55">
        <f>VLOOKUP($B15, Lloyds!$D:$E, 2, FALSE)</f>
        <v>3</v>
      </c>
      <c r="F15" s="61">
        <f>VLOOKUP($B15, Aviva!$D:$E, 2, FALSE)</f>
        <v>2</v>
      </c>
      <c r="G15" s="61">
        <f>VLOOKUP($B15, LG!$D:$E, 2, FALSE)</f>
        <v>3</v>
      </c>
      <c r="H15" s="61">
        <f>VLOOKUP($B15, Prudential!$D:$E, 2, FALSE)</f>
        <v>3</v>
      </c>
      <c r="I15" s="67">
        <f>VLOOKUP($B15, '3i'!$D:$E, 2, FALSE)</f>
        <v>1</v>
      </c>
      <c r="J15" s="67">
        <f>VLOOKUP($B15, MG!$D:$E, 2, FALSE)</f>
        <v>2</v>
      </c>
      <c r="K15" s="67">
        <f>VLOOKUP($B15, Schroders!$D:$E, 2, FALSE)</f>
        <v>3</v>
      </c>
      <c r="L15" s="73">
        <f>VLOOKUP($B15, LSEG!$D:$E, 2, FALSE)</f>
        <v>3</v>
      </c>
      <c r="M15" s="73">
        <f>VLOOKUP($B15, Experian!$D:$E, 2, FALSE)</f>
        <v>3</v>
      </c>
      <c r="N15" s="73">
        <f>VLOOKUP($B15, Wise!$D:$E, 2, FALSE)</f>
        <v>2</v>
      </c>
      <c r="O15" s="43">
        <f t="shared" si="0"/>
        <v>2.58</v>
      </c>
      <c r="P15" s="43" t="str">
        <f t="shared" si="1"/>
        <v>8/12</v>
      </c>
      <c r="Q15" s="45" t="str">
        <f t="shared" si="2"/>
        <v>0/12</v>
      </c>
    </row>
    <row r="16" spans="1:17" x14ac:dyDescent="0.2">
      <c r="A16" s="30" t="s">
        <v>71</v>
      </c>
      <c r="B16" s="40" t="s">
        <v>72</v>
      </c>
      <c r="C16" s="55">
        <f>VLOOKUP($B16, HSBC!$D:$E, 2, FALSE)</f>
        <v>2</v>
      </c>
      <c r="D16" s="55">
        <f>VLOOKUP($B16, Barclays!$D:$E, 2, FALSE)</f>
        <v>2</v>
      </c>
      <c r="E16" s="55">
        <f>VLOOKUP($B16, Lloyds!$D:$E, 2, FALSE)</f>
        <v>2</v>
      </c>
      <c r="F16" s="61">
        <f>VLOOKUP($B16, Aviva!$D:$E, 2, FALSE)</f>
        <v>1</v>
      </c>
      <c r="G16" s="61">
        <f>VLOOKUP($B16, LG!$D:$E, 2, FALSE)</f>
        <v>2</v>
      </c>
      <c r="H16" s="61">
        <f>VLOOKUP($B16, Prudential!$D:$E, 2, FALSE)</f>
        <v>2</v>
      </c>
      <c r="I16" s="67">
        <f>VLOOKUP($B16, '3i'!$D:$E, 2, FALSE)</f>
        <v>1</v>
      </c>
      <c r="J16" s="67">
        <f>VLOOKUP($B16, MG!$D:$E, 2, FALSE)</f>
        <v>2</v>
      </c>
      <c r="K16" s="67">
        <f>VLOOKUP($B16, Schroders!$D:$E, 2, FALSE)</f>
        <v>2</v>
      </c>
      <c r="L16" s="73">
        <f>VLOOKUP($B16, LSEG!$D:$E, 2, FALSE)</f>
        <v>2</v>
      </c>
      <c r="M16" s="73">
        <f>VLOOKUP($B16, Experian!$D:$E, 2, FALSE)</f>
        <v>2</v>
      </c>
      <c r="N16" s="73">
        <f>VLOOKUP($B16, Wise!$D:$E, 2, FALSE)</f>
        <v>1</v>
      </c>
      <c r="O16" s="43">
        <f t="shared" si="0"/>
        <v>1.75</v>
      </c>
      <c r="P16" s="43" t="str">
        <f t="shared" si="1"/>
        <v>0/12</v>
      </c>
      <c r="Q16" s="45" t="str">
        <f t="shared" si="2"/>
        <v>0/12</v>
      </c>
    </row>
    <row r="17" spans="1:17" ht="26" x14ac:dyDescent="0.2">
      <c r="A17" s="47" t="s">
        <v>74</v>
      </c>
      <c r="B17" s="41" t="s">
        <v>75</v>
      </c>
      <c r="C17" s="56">
        <f>VLOOKUP($B17, HSBC!$D:$E, 2, FALSE)</f>
        <v>3</v>
      </c>
      <c r="D17" s="56">
        <f>VLOOKUP($B17, Barclays!$D:$E, 2, FALSE)</f>
        <v>3</v>
      </c>
      <c r="E17" s="56">
        <f>VLOOKUP($B17, Lloyds!$D:$E, 2, FALSE)</f>
        <v>3</v>
      </c>
      <c r="F17" s="62">
        <f>VLOOKUP($B17, Aviva!$D:$E, 2, FALSE)</f>
        <v>2</v>
      </c>
      <c r="G17" s="62">
        <f>VLOOKUP($B17, LG!$D:$E, 2, FALSE)</f>
        <v>3</v>
      </c>
      <c r="H17" s="62">
        <f>VLOOKUP($B17, Prudential!$D:$E, 2, FALSE)</f>
        <v>3</v>
      </c>
      <c r="I17" s="68">
        <f>VLOOKUP($B17, '3i'!$D:$E, 2, FALSE)</f>
        <v>1</v>
      </c>
      <c r="J17" s="68">
        <f>VLOOKUP($B17, MG!$D:$E, 2, FALSE)</f>
        <v>3</v>
      </c>
      <c r="K17" s="68">
        <f>VLOOKUP($B17, Schroders!$D:$E, 2, FALSE)</f>
        <v>3</v>
      </c>
      <c r="L17" s="74">
        <f>VLOOKUP($B17, LSEG!$D:$E, 2, FALSE)</f>
        <v>3</v>
      </c>
      <c r="M17" s="74">
        <f>VLOOKUP($B17, Experian!$D:$E, 2, FALSE)</f>
        <v>3</v>
      </c>
      <c r="N17" s="74">
        <f>VLOOKUP($B17, Wise!$D:$E, 2, FALSE)</f>
        <v>2</v>
      </c>
      <c r="O17" s="44">
        <f t="shared" si="0"/>
        <v>2.67</v>
      </c>
      <c r="P17" s="44" t="str">
        <f t="shared" si="1"/>
        <v>9/12</v>
      </c>
      <c r="Q17" s="45" t="str">
        <f t="shared" si="2"/>
        <v>0/12</v>
      </c>
    </row>
    <row r="18" spans="1:17" x14ac:dyDescent="0.2">
      <c r="A18" s="51"/>
      <c r="B18" s="50" t="s">
        <v>924</v>
      </c>
      <c r="C18" s="57"/>
      <c r="D18" s="57"/>
      <c r="E18" s="57"/>
      <c r="F18" s="63"/>
      <c r="G18" s="63"/>
      <c r="H18" s="63"/>
      <c r="I18" s="69"/>
      <c r="J18" s="69"/>
      <c r="K18" s="69"/>
      <c r="L18" s="75"/>
      <c r="M18" s="75"/>
      <c r="N18" s="75"/>
      <c r="O18" s="46"/>
      <c r="P18" s="46"/>
      <c r="Q18" s="46"/>
    </row>
    <row r="19" spans="1:17" ht="26" x14ac:dyDescent="0.2">
      <c r="A19" s="48" t="s">
        <v>79</v>
      </c>
      <c r="B19" s="49" t="s">
        <v>80</v>
      </c>
      <c r="C19" s="54">
        <f>VLOOKUP($B19, HSBC!$D:$E, 2, FALSE)</f>
        <v>4</v>
      </c>
      <c r="D19" s="54">
        <f>VLOOKUP($B19, Barclays!$D:$E, 2, FALSE)</f>
        <v>4</v>
      </c>
      <c r="E19" s="54">
        <f>VLOOKUP($B19, Lloyds!$D:$E, 2, FALSE)</f>
        <v>4</v>
      </c>
      <c r="F19" s="60">
        <f>VLOOKUP($B19, Aviva!$D:$E, 2, FALSE)</f>
        <v>3</v>
      </c>
      <c r="G19" s="60">
        <f>VLOOKUP($B19, LG!$D:$E, 2, FALSE)</f>
        <v>3</v>
      </c>
      <c r="H19" s="60">
        <f>VLOOKUP($B19, Prudential!$D:$E, 2, FALSE)</f>
        <v>4</v>
      </c>
      <c r="I19" s="66">
        <f>VLOOKUP($B19, '3i'!$D:$E, 2, FALSE)</f>
        <v>3</v>
      </c>
      <c r="J19" s="66">
        <f>VLOOKUP($B19, MG!$D:$E, 2, FALSE)</f>
        <v>3</v>
      </c>
      <c r="K19" s="66">
        <f>VLOOKUP($B19, Schroders!$D:$E, 2, FALSE)</f>
        <v>4</v>
      </c>
      <c r="L19" s="72">
        <f>VLOOKUP($B19, LSEG!$D:$E, 2, FALSE)</f>
        <v>3</v>
      </c>
      <c r="M19" s="72">
        <f>VLOOKUP($B19, Experian!$D:$E, 2, FALSE)</f>
        <v>4</v>
      </c>
      <c r="N19" s="72">
        <f>VLOOKUP($B19, Wise!$D:$E, 2, FALSE)</f>
        <v>4</v>
      </c>
      <c r="O19" s="45">
        <f t="shared" ref="O19:O33" si="3">ROUND(AVERAGE($C19:$N19), 2)</f>
        <v>3.58</v>
      </c>
      <c r="P19" s="45" t="str">
        <f t="shared" ref="P19:P33" si="4">COUNTIF($C19:$N19, "&gt;=3") &amp; "/12"</f>
        <v>12/12</v>
      </c>
      <c r="Q19" s="45" t="str">
        <f t="shared" si="2"/>
        <v>7/12</v>
      </c>
    </row>
    <row r="20" spans="1:17" ht="26" x14ac:dyDescent="0.2">
      <c r="A20" s="30" t="s">
        <v>83</v>
      </c>
      <c r="B20" s="40" t="s">
        <v>84</v>
      </c>
      <c r="C20" s="55">
        <f>VLOOKUP($B20, HSBC!$D:$E, 2, FALSE)</f>
        <v>4</v>
      </c>
      <c r="D20" s="55">
        <f>VLOOKUP($B20, Barclays!$D:$E, 2, FALSE)</f>
        <v>4</v>
      </c>
      <c r="E20" s="55">
        <f>VLOOKUP($B20, Lloyds!$D:$E, 2, FALSE)</f>
        <v>3</v>
      </c>
      <c r="F20" s="61">
        <f>VLOOKUP($B20, Aviva!$D:$E, 2, FALSE)</f>
        <v>3</v>
      </c>
      <c r="G20" s="61">
        <f>VLOOKUP($B20, LG!$D:$E, 2, FALSE)</f>
        <v>3</v>
      </c>
      <c r="H20" s="61">
        <f>VLOOKUP($B20, Prudential!$D:$E, 2, FALSE)</f>
        <v>3</v>
      </c>
      <c r="I20" s="67">
        <f>VLOOKUP($B20, '3i'!$D:$E, 2, FALSE)</f>
        <v>3</v>
      </c>
      <c r="J20" s="67">
        <f>VLOOKUP($B20, MG!$D:$E, 2, FALSE)</f>
        <v>3</v>
      </c>
      <c r="K20" s="67">
        <f>VLOOKUP($B20, Schroders!$D:$E, 2, FALSE)</f>
        <v>4</v>
      </c>
      <c r="L20" s="73">
        <f>VLOOKUP($B20, LSEG!$D:$E, 2, FALSE)</f>
        <v>4</v>
      </c>
      <c r="M20" s="73">
        <f>VLOOKUP($B20, Experian!$D:$E, 2, FALSE)</f>
        <v>4</v>
      </c>
      <c r="N20" s="73">
        <f>VLOOKUP($B20, Wise!$D:$E, 2, FALSE)</f>
        <v>4</v>
      </c>
      <c r="O20" s="43">
        <f t="shared" si="3"/>
        <v>3.5</v>
      </c>
      <c r="P20" s="43" t="str">
        <f t="shared" si="4"/>
        <v>12/12</v>
      </c>
      <c r="Q20" s="45" t="str">
        <f t="shared" si="2"/>
        <v>6/12</v>
      </c>
    </row>
    <row r="21" spans="1:17" ht="26" x14ac:dyDescent="0.2">
      <c r="A21" s="30" t="s">
        <v>86</v>
      </c>
      <c r="B21" s="40" t="s">
        <v>87</v>
      </c>
      <c r="C21" s="55">
        <f>VLOOKUP($B21, HSBC!$D:$E, 2, FALSE)</f>
        <v>4</v>
      </c>
      <c r="D21" s="55">
        <f>VLOOKUP($B21, Barclays!$D:$E, 2, FALSE)</f>
        <v>4</v>
      </c>
      <c r="E21" s="55">
        <f>VLOOKUP($B21, Lloyds!$D:$E, 2, FALSE)</f>
        <v>4</v>
      </c>
      <c r="F21" s="61">
        <f>VLOOKUP($B21, Aviva!$D:$E, 2, FALSE)</f>
        <v>3</v>
      </c>
      <c r="G21" s="61">
        <f>VLOOKUP($B21, LG!$D:$E, 2, FALSE)</f>
        <v>4</v>
      </c>
      <c r="H21" s="61">
        <f>VLOOKUP($B21, Prudential!$D:$E, 2, FALSE)</f>
        <v>4</v>
      </c>
      <c r="I21" s="67">
        <f>VLOOKUP($B21, '3i'!$D:$E, 2, FALSE)</f>
        <v>3</v>
      </c>
      <c r="J21" s="67">
        <f>VLOOKUP($B21, MG!$D:$E, 2, FALSE)</f>
        <v>3</v>
      </c>
      <c r="K21" s="67">
        <f>VLOOKUP($B21, Schroders!$D:$E, 2, FALSE)</f>
        <v>4</v>
      </c>
      <c r="L21" s="73">
        <f>VLOOKUP($B21, LSEG!$D:$E, 2, FALSE)</f>
        <v>4</v>
      </c>
      <c r="M21" s="73">
        <f>VLOOKUP($B21, Experian!$D:$E, 2, FALSE)</f>
        <v>4</v>
      </c>
      <c r="N21" s="73">
        <f>VLOOKUP($B21, Wise!$D:$E, 2, FALSE)</f>
        <v>4</v>
      </c>
      <c r="O21" s="43">
        <f t="shared" si="3"/>
        <v>3.75</v>
      </c>
      <c r="P21" s="43" t="str">
        <f t="shared" si="4"/>
        <v>12/12</v>
      </c>
      <c r="Q21" s="45" t="str">
        <f t="shared" si="2"/>
        <v>9/12</v>
      </c>
    </row>
    <row r="22" spans="1:17" ht="26" x14ac:dyDescent="0.2">
      <c r="A22" s="30" t="s">
        <v>90</v>
      </c>
      <c r="B22" s="40" t="s">
        <v>91</v>
      </c>
      <c r="C22" s="55">
        <f>VLOOKUP($B22, HSBC!$D:$E, 2, FALSE)</f>
        <v>4</v>
      </c>
      <c r="D22" s="55">
        <f>VLOOKUP($B22, Barclays!$D:$E, 2, FALSE)</f>
        <v>4</v>
      </c>
      <c r="E22" s="55">
        <f>VLOOKUP($B22, Lloyds!$D:$E, 2, FALSE)</f>
        <v>3</v>
      </c>
      <c r="F22" s="61">
        <f>VLOOKUP($B22, Aviva!$D:$E, 2, FALSE)</f>
        <v>3</v>
      </c>
      <c r="G22" s="61">
        <f>VLOOKUP($B22, LG!$D:$E, 2, FALSE)</f>
        <v>4</v>
      </c>
      <c r="H22" s="61">
        <f>VLOOKUP($B22, Prudential!$D:$E, 2, FALSE)</f>
        <v>3</v>
      </c>
      <c r="I22" s="67">
        <f>VLOOKUP($B22, '3i'!$D:$E, 2, FALSE)</f>
        <v>3</v>
      </c>
      <c r="J22" s="67">
        <f>VLOOKUP($B22, MG!$D:$E, 2, FALSE)</f>
        <v>3</v>
      </c>
      <c r="K22" s="67">
        <f>VLOOKUP($B22, Schroders!$D:$E, 2, FALSE)</f>
        <v>4</v>
      </c>
      <c r="L22" s="73">
        <f>VLOOKUP($B22, LSEG!$D:$E, 2, FALSE)</f>
        <v>3</v>
      </c>
      <c r="M22" s="73">
        <f>VLOOKUP($B22, Experian!$D:$E, 2, FALSE)</f>
        <v>4</v>
      </c>
      <c r="N22" s="73">
        <f>VLOOKUP($B22, Wise!$D:$E, 2, FALSE)</f>
        <v>4</v>
      </c>
      <c r="O22" s="43">
        <f t="shared" si="3"/>
        <v>3.5</v>
      </c>
      <c r="P22" s="43" t="str">
        <f t="shared" si="4"/>
        <v>12/12</v>
      </c>
      <c r="Q22" s="45" t="str">
        <f t="shared" si="2"/>
        <v>6/12</v>
      </c>
    </row>
    <row r="23" spans="1:17" x14ac:dyDescent="0.2">
      <c r="A23" s="30" t="s">
        <v>94</v>
      </c>
      <c r="B23" s="40" t="s">
        <v>95</v>
      </c>
      <c r="C23" s="55">
        <f>VLOOKUP($B23, HSBC!$D:$E, 2, FALSE)</f>
        <v>2</v>
      </c>
      <c r="D23" s="55">
        <f>VLOOKUP($B23, Barclays!$D:$E, 2, FALSE)</f>
        <v>2</v>
      </c>
      <c r="E23" s="55">
        <f>VLOOKUP($B23, Lloyds!$D:$E, 2, FALSE)</f>
        <v>2</v>
      </c>
      <c r="F23" s="61">
        <f>VLOOKUP($B23, Aviva!$D:$E, 2, FALSE)</f>
        <v>1</v>
      </c>
      <c r="G23" s="61">
        <f>VLOOKUP($B23, LG!$D:$E, 2, FALSE)</f>
        <v>1</v>
      </c>
      <c r="H23" s="61">
        <f>VLOOKUP($B23, Prudential!$D:$E, 2, FALSE)</f>
        <v>1</v>
      </c>
      <c r="I23" s="67">
        <f>VLOOKUP($B23, '3i'!$D:$E, 2, FALSE)</f>
        <v>1</v>
      </c>
      <c r="J23" s="67">
        <f>VLOOKUP($B23, MG!$D:$E, 2, FALSE)</f>
        <v>1</v>
      </c>
      <c r="K23" s="67">
        <f>VLOOKUP($B23, Schroders!$D:$E, 2, FALSE)</f>
        <v>2</v>
      </c>
      <c r="L23" s="73">
        <f>VLOOKUP($B23, LSEG!$D:$E, 2, FALSE)</f>
        <v>2</v>
      </c>
      <c r="M23" s="73">
        <f>VLOOKUP($B23, Experian!$D:$E, 2, FALSE)</f>
        <v>2</v>
      </c>
      <c r="N23" s="73">
        <f>VLOOKUP($B23, Wise!$D:$E, 2, FALSE)</f>
        <v>2</v>
      </c>
      <c r="O23" s="43">
        <f t="shared" si="3"/>
        <v>1.58</v>
      </c>
      <c r="P23" s="43" t="str">
        <f t="shared" si="4"/>
        <v>0/12</v>
      </c>
      <c r="Q23" s="45" t="str">
        <f t="shared" si="2"/>
        <v>0/12</v>
      </c>
    </row>
    <row r="24" spans="1:17" x14ac:dyDescent="0.2">
      <c r="A24" s="30" t="s">
        <v>97</v>
      </c>
      <c r="B24" s="40" t="s">
        <v>98</v>
      </c>
      <c r="C24" s="55">
        <f>VLOOKUP($B24, HSBC!$D:$E, 2, FALSE)</f>
        <v>4</v>
      </c>
      <c r="D24" s="55">
        <f>VLOOKUP($B24, Barclays!$D:$E, 2, FALSE)</f>
        <v>4</v>
      </c>
      <c r="E24" s="55">
        <f>VLOOKUP($B24, Lloyds!$D:$E, 2, FALSE)</f>
        <v>3</v>
      </c>
      <c r="F24" s="61">
        <f>VLOOKUP($B24, Aviva!$D:$E, 2, FALSE)</f>
        <v>3</v>
      </c>
      <c r="G24" s="61">
        <f>VLOOKUP($B24, LG!$D:$E, 2, FALSE)</f>
        <v>3</v>
      </c>
      <c r="H24" s="61">
        <f>VLOOKUP($B24, Prudential!$D:$E, 2, FALSE)</f>
        <v>4</v>
      </c>
      <c r="I24" s="67">
        <f>VLOOKUP($B24, '3i'!$D:$E, 2, FALSE)</f>
        <v>3</v>
      </c>
      <c r="J24" s="67">
        <f>VLOOKUP($B24, MG!$D:$E, 2, FALSE)</f>
        <v>3</v>
      </c>
      <c r="K24" s="67">
        <f>VLOOKUP($B24, Schroders!$D:$E, 2, FALSE)</f>
        <v>4</v>
      </c>
      <c r="L24" s="73">
        <f>VLOOKUP($B24, LSEG!$D:$E, 2, FALSE)</f>
        <v>3</v>
      </c>
      <c r="M24" s="73">
        <f>VLOOKUP($B24, Experian!$D:$E, 2, FALSE)</f>
        <v>3</v>
      </c>
      <c r="N24" s="73">
        <f>VLOOKUP($B24, Wise!$D:$E, 2, FALSE)</f>
        <v>3</v>
      </c>
      <c r="O24" s="43">
        <f t="shared" si="3"/>
        <v>3.33</v>
      </c>
      <c r="P24" s="43" t="str">
        <f t="shared" si="4"/>
        <v>12/12</v>
      </c>
      <c r="Q24" s="45" t="str">
        <f t="shared" si="2"/>
        <v>4/12</v>
      </c>
    </row>
    <row r="25" spans="1:17" x14ac:dyDescent="0.2">
      <c r="A25" s="30" t="s">
        <v>101</v>
      </c>
      <c r="B25" s="40" t="s">
        <v>103</v>
      </c>
      <c r="C25" s="55">
        <f>VLOOKUP($B25, HSBC!$D:$E, 2, FALSE)</f>
        <v>3</v>
      </c>
      <c r="D25" s="55">
        <f>VLOOKUP($B25, Barclays!$D:$E, 2, FALSE)</f>
        <v>3</v>
      </c>
      <c r="E25" s="55">
        <f>VLOOKUP($B25, Lloyds!$D:$E, 2, FALSE)</f>
        <v>3</v>
      </c>
      <c r="F25" s="61">
        <f>VLOOKUP($B25, Aviva!$D:$E, 2, FALSE)</f>
        <v>1</v>
      </c>
      <c r="G25" s="61">
        <f>VLOOKUP($B25, LG!$D:$E, 2, FALSE)</f>
        <v>1</v>
      </c>
      <c r="H25" s="61">
        <f>VLOOKUP($B25, Prudential!$D:$E, 2, FALSE)</f>
        <v>2</v>
      </c>
      <c r="I25" s="67">
        <f>VLOOKUP($B25, '3i'!$D:$E, 2, FALSE)</f>
        <v>2</v>
      </c>
      <c r="J25" s="67">
        <f>VLOOKUP($B25, MG!$D:$E, 2, FALSE)</f>
        <v>1</v>
      </c>
      <c r="K25" s="67">
        <f>VLOOKUP($B25, Schroders!$D:$E, 2, FALSE)</f>
        <v>2</v>
      </c>
      <c r="L25" s="73">
        <f>VLOOKUP($B25, LSEG!$D:$E, 2, FALSE)</f>
        <v>2</v>
      </c>
      <c r="M25" s="73">
        <f>VLOOKUP($B25, Experian!$D:$E, 2, FALSE)</f>
        <v>3</v>
      </c>
      <c r="N25" s="73">
        <f>VLOOKUP($B25, Wise!$D:$E, 2, FALSE)</f>
        <v>2</v>
      </c>
      <c r="O25" s="43">
        <f t="shared" si="3"/>
        <v>2.08</v>
      </c>
      <c r="P25" s="43" t="str">
        <f t="shared" si="4"/>
        <v>4/12</v>
      </c>
      <c r="Q25" s="45" t="str">
        <f t="shared" si="2"/>
        <v>0/12</v>
      </c>
    </row>
    <row r="26" spans="1:17" ht="26" x14ac:dyDescent="0.2">
      <c r="A26" s="30" t="s">
        <v>105</v>
      </c>
      <c r="B26" s="40" t="s">
        <v>106</v>
      </c>
      <c r="C26" s="55">
        <f>VLOOKUP($B26, HSBC!$D:$E, 2, FALSE)</f>
        <v>4</v>
      </c>
      <c r="D26" s="55">
        <f>VLOOKUP($B26, Barclays!$D:$E, 2, FALSE)</f>
        <v>4</v>
      </c>
      <c r="E26" s="55">
        <f>VLOOKUP($B26, Lloyds!$D:$E, 2, FALSE)</f>
        <v>3</v>
      </c>
      <c r="F26" s="61">
        <f>VLOOKUP($B26, Aviva!$D:$E, 2, FALSE)</f>
        <v>2</v>
      </c>
      <c r="G26" s="61">
        <f>VLOOKUP($B26, LG!$D:$E, 2, FALSE)</f>
        <v>3</v>
      </c>
      <c r="H26" s="61">
        <f>VLOOKUP($B26, Prudential!$D:$E, 2, FALSE)</f>
        <v>4</v>
      </c>
      <c r="I26" s="67">
        <f>VLOOKUP($B26, '3i'!$D:$E, 2, FALSE)</f>
        <v>3</v>
      </c>
      <c r="J26" s="67">
        <f>VLOOKUP($B26, MG!$D:$E, 2, FALSE)</f>
        <v>3</v>
      </c>
      <c r="K26" s="67">
        <f>VLOOKUP($B26, Schroders!$D:$E, 2, FALSE)</f>
        <v>3</v>
      </c>
      <c r="L26" s="73">
        <f>VLOOKUP($B26, LSEG!$D:$E, 2, FALSE)</f>
        <v>3</v>
      </c>
      <c r="M26" s="73">
        <f>VLOOKUP($B26, Experian!$D:$E, 2, FALSE)</f>
        <v>4</v>
      </c>
      <c r="N26" s="73">
        <f>VLOOKUP($B26, Wise!$D:$E, 2, FALSE)</f>
        <v>4</v>
      </c>
      <c r="O26" s="43">
        <f t="shared" si="3"/>
        <v>3.33</v>
      </c>
      <c r="P26" s="43" t="str">
        <f t="shared" si="4"/>
        <v>11/12</v>
      </c>
      <c r="Q26" s="45" t="str">
        <f t="shared" si="2"/>
        <v>5/12</v>
      </c>
    </row>
    <row r="27" spans="1:17" x14ac:dyDescent="0.2">
      <c r="A27" s="30" t="s">
        <v>108</v>
      </c>
      <c r="B27" s="40" t="s">
        <v>109</v>
      </c>
      <c r="C27" s="55">
        <f>VLOOKUP($B27, HSBC!$D:$E, 2, FALSE)</f>
        <v>4</v>
      </c>
      <c r="D27" s="55">
        <f>VLOOKUP($B27, Barclays!$D:$E, 2, FALSE)</f>
        <v>4</v>
      </c>
      <c r="E27" s="55">
        <f>VLOOKUP($B27, Lloyds!$D:$E, 2, FALSE)</f>
        <v>4</v>
      </c>
      <c r="F27" s="61">
        <f>VLOOKUP($B27, Aviva!$D:$E, 2, FALSE)</f>
        <v>3</v>
      </c>
      <c r="G27" s="61">
        <f>VLOOKUP($B27, LG!$D:$E, 2, FALSE)</f>
        <v>4</v>
      </c>
      <c r="H27" s="61">
        <f>VLOOKUP($B27, Prudential!$D:$E, 2, FALSE)</f>
        <v>4</v>
      </c>
      <c r="I27" s="67">
        <f>VLOOKUP($B27, '3i'!$D:$E, 2, FALSE)</f>
        <v>3</v>
      </c>
      <c r="J27" s="67">
        <f>VLOOKUP($B27, MG!$D:$E, 2, FALSE)</f>
        <v>3</v>
      </c>
      <c r="K27" s="67">
        <f>VLOOKUP($B27, Schroders!$D:$E, 2, FALSE)</f>
        <v>4</v>
      </c>
      <c r="L27" s="73">
        <f>VLOOKUP($B27, LSEG!$D:$E, 2, FALSE)</f>
        <v>4</v>
      </c>
      <c r="M27" s="73">
        <f>VLOOKUP($B27, Experian!$D:$E, 2, FALSE)</f>
        <v>4</v>
      </c>
      <c r="N27" s="73">
        <f>VLOOKUP($B27, Wise!$D:$E, 2, FALSE)</f>
        <v>3</v>
      </c>
      <c r="O27" s="43">
        <f t="shared" si="3"/>
        <v>3.67</v>
      </c>
      <c r="P27" s="43" t="str">
        <f t="shared" si="4"/>
        <v>12/12</v>
      </c>
      <c r="Q27" s="45" t="str">
        <f t="shared" si="2"/>
        <v>8/12</v>
      </c>
    </row>
    <row r="28" spans="1:17" x14ac:dyDescent="0.2">
      <c r="A28" s="30" t="s">
        <v>112</v>
      </c>
      <c r="B28" s="40" t="s">
        <v>114</v>
      </c>
      <c r="C28" s="55">
        <f>VLOOKUP($B28, HSBC!$D:$E, 2, FALSE)</f>
        <v>4</v>
      </c>
      <c r="D28" s="55">
        <f>VLOOKUP($B28, Barclays!$D:$E, 2, FALSE)</f>
        <v>4</v>
      </c>
      <c r="E28" s="55">
        <f>VLOOKUP($B28, Lloyds!$D:$E, 2, FALSE)</f>
        <v>2</v>
      </c>
      <c r="F28" s="61">
        <f>VLOOKUP($B28, Aviva!$D:$E, 2, FALSE)</f>
        <v>2</v>
      </c>
      <c r="G28" s="61">
        <f>VLOOKUP($B28, LG!$D:$E, 2, FALSE)</f>
        <v>2</v>
      </c>
      <c r="H28" s="61">
        <f>VLOOKUP($B28, Prudential!$D:$E, 2, FALSE)</f>
        <v>4</v>
      </c>
      <c r="I28" s="67">
        <f>VLOOKUP($B28, '3i'!$D:$E, 2, FALSE)</f>
        <v>3</v>
      </c>
      <c r="J28" s="67">
        <f>VLOOKUP($B28, MG!$D:$E, 2, FALSE)</f>
        <v>2</v>
      </c>
      <c r="K28" s="67">
        <f>VLOOKUP($B28, Schroders!$D:$E, 2, FALSE)</f>
        <v>3</v>
      </c>
      <c r="L28" s="73">
        <f>VLOOKUP($B28, LSEG!$D:$E, 2, FALSE)</f>
        <v>3</v>
      </c>
      <c r="M28" s="73">
        <f>VLOOKUP($B28, Experian!$D:$E, 2, FALSE)</f>
        <v>4</v>
      </c>
      <c r="N28" s="73">
        <f>VLOOKUP($B28, Wise!$D:$E, 2, FALSE)</f>
        <v>3</v>
      </c>
      <c r="O28" s="43">
        <f t="shared" si="3"/>
        <v>3</v>
      </c>
      <c r="P28" s="43" t="str">
        <f t="shared" si="4"/>
        <v>8/12</v>
      </c>
      <c r="Q28" s="45" t="str">
        <f t="shared" si="2"/>
        <v>4/12</v>
      </c>
    </row>
    <row r="29" spans="1:17" x14ac:dyDescent="0.2">
      <c r="A29" s="30" t="s">
        <v>116</v>
      </c>
      <c r="B29" s="40" t="s">
        <v>117</v>
      </c>
      <c r="C29" s="55">
        <f>VLOOKUP($B29, HSBC!$D:$E, 2, FALSE)</f>
        <v>4</v>
      </c>
      <c r="D29" s="55">
        <f>VLOOKUP($B29, Barclays!$D:$E, 2, FALSE)</f>
        <v>4</v>
      </c>
      <c r="E29" s="55">
        <f>VLOOKUP($B29, Lloyds!$D:$E, 2, FALSE)</f>
        <v>3</v>
      </c>
      <c r="F29" s="61">
        <f>VLOOKUP($B29, Aviva!$D:$E, 2, FALSE)</f>
        <v>2</v>
      </c>
      <c r="G29" s="61">
        <f>VLOOKUP($B29, LG!$D:$E, 2, FALSE)</f>
        <v>3</v>
      </c>
      <c r="H29" s="61">
        <f>VLOOKUP($B29, Prudential!$D:$E, 2, FALSE)</f>
        <v>4</v>
      </c>
      <c r="I29" s="67">
        <f>VLOOKUP($B29, '3i'!$D:$E, 2, FALSE)</f>
        <v>3</v>
      </c>
      <c r="J29" s="67">
        <f>VLOOKUP($B29, MG!$D:$E, 2, FALSE)</f>
        <v>3</v>
      </c>
      <c r="K29" s="67">
        <f>VLOOKUP($B29, Schroders!$D:$E, 2, FALSE)</f>
        <v>3</v>
      </c>
      <c r="L29" s="73">
        <f>VLOOKUP($B29, LSEG!$D:$E, 2, FALSE)</f>
        <v>3</v>
      </c>
      <c r="M29" s="73">
        <f>VLOOKUP($B29, Experian!$D:$E, 2, FALSE)</f>
        <v>4</v>
      </c>
      <c r="N29" s="73">
        <f>VLOOKUP($B29, Wise!$D:$E, 2, FALSE)</f>
        <v>3</v>
      </c>
      <c r="O29" s="43">
        <f t="shared" si="3"/>
        <v>3.25</v>
      </c>
      <c r="P29" s="43" t="str">
        <f t="shared" si="4"/>
        <v>11/12</v>
      </c>
      <c r="Q29" s="45" t="str">
        <f t="shared" si="2"/>
        <v>4/12</v>
      </c>
    </row>
    <row r="30" spans="1:17" x14ac:dyDescent="0.2">
      <c r="A30" s="30" t="s">
        <v>120</v>
      </c>
      <c r="B30" s="40" t="s">
        <v>121</v>
      </c>
      <c r="C30" s="55">
        <f>VLOOKUP($B30, HSBC!$D:$E, 2, FALSE)</f>
        <v>4</v>
      </c>
      <c r="D30" s="55">
        <f>VLOOKUP($B30, Barclays!$D:$E, 2, FALSE)</f>
        <v>4</v>
      </c>
      <c r="E30" s="55">
        <f>VLOOKUP($B30, Lloyds!$D:$E, 2, FALSE)</f>
        <v>2</v>
      </c>
      <c r="F30" s="61">
        <f>VLOOKUP($B30, Aviva!$D:$E, 2, FALSE)</f>
        <v>1</v>
      </c>
      <c r="G30" s="61">
        <f>VLOOKUP($B30, LG!$D:$E, 2, FALSE)</f>
        <v>1</v>
      </c>
      <c r="H30" s="61">
        <f>VLOOKUP($B30, Prudential!$D:$E, 2, FALSE)</f>
        <v>1</v>
      </c>
      <c r="I30" s="67">
        <f>VLOOKUP($B30, '3i'!$D:$E, 2, FALSE)</f>
        <v>3</v>
      </c>
      <c r="J30" s="67">
        <f>VLOOKUP($B30, MG!$D:$E, 2, FALSE)</f>
        <v>1</v>
      </c>
      <c r="K30" s="67">
        <f>VLOOKUP($B30, Schroders!$D:$E, 2, FALSE)</f>
        <v>2</v>
      </c>
      <c r="L30" s="73">
        <f>VLOOKUP($B30, LSEG!$D:$E, 2, FALSE)</f>
        <v>2</v>
      </c>
      <c r="M30" s="73">
        <f>VLOOKUP($B30, Experian!$D:$E, 2, FALSE)</f>
        <v>3</v>
      </c>
      <c r="N30" s="73">
        <f>VLOOKUP($B30, Wise!$D:$E, 2, FALSE)</f>
        <v>3</v>
      </c>
      <c r="O30" s="43">
        <f t="shared" si="3"/>
        <v>2.25</v>
      </c>
      <c r="P30" s="43" t="str">
        <f t="shared" si="4"/>
        <v>5/12</v>
      </c>
      <c r="Q30" s="45" t="str">
        <f t="shared" si="2"/>
        <v>2/12</v>
      </c>
    </row>
    <row r="31" spans="1:17" x14ac:dyDescent="0.2">
      <c r="A31" s="30" t="s">
        <v>123</v>
      </c>
      <c r="B31" s="40" t="s">
        <v>124</v>
      </c>
      <c r="C31" s="55">
        <f>VLOOKUP($B31, HSBC!$D:$E, 2, FALSE)</f>
        <v>4</v>
      </c>
      <c r="D31" s="55">
        <f>VLOOKUP($B31, Barclays!$D:$E, 2, FALSE)</f>
        <v>4</v>
      </c>
      <c r="E31" s="55">
        <f>VLOOKUP($B31, Lloyds!$D:$E, 2, FALSE)</f>
        <v>3</v>
      </c>
      <c r="F31" s="61">
        <f>VLOOKUP($B31, Aviva!$D:$E, 2, FALSE)</f>
        <v>3</v>
      </c>
      <c r="G31" s="61">
        <f>VLOOKUP($B31, LG!$D:$E, 2, FALSE)</f>
        <v>3</v>
      </c>
      <c r="H31" s="61">
        <f>VLOOKUP($B31, Prudential!$D:$E, 2, FALSE)</f>
        <v>3</v>
      </c>
      <c r="I31" s="67">
        <f>VLOOKUP($B31, '3i'!$D:$E, 2, FALSE)</f>
        <v>3</v>
      </c>
      <c r="J31" s="67">
        <f>VLOOKUP($B31, MG!$D:$E, 2, FALSE)</f>
        <v>3</v>
      </c>
      <c r="K31" s="67">
        <f>VLOOKUP($B31, Schroders!$D:$E, 2, FALSE)</f>
        <v>4</v>
      </c>
      <c r="L31" s="73">
        <f>VLOOKUP($B31, LSEG!$D:$E, 2, FALSE)</f>
        <v>3</v>
      </c>
      <c r="M31" s="73">
        <f>VLOOKUP($B31, Experian!$D:$E, 2, FALSE)</f>
        <v>3</v>
      </c>
      <c r="N31" s="73">
        <f>VLOOKUP($B31, Wise!$D:$E, 2, FALSE)</f>
        <v>4</v>
      </c>
      <c r="O31" s="43">
        <f t="shared" si="3"/>
        <v>3.33</v>
      </c>
      <c r="P31" s="43" t="str">
        <f t="shared" si="4"/>
        <v>12/12</v>
      </c>
      <c r="Q31" s="45" t="str">
        <f t="shared" si="2"/>
        <v>4/12</v>
      </c>
    </row>
    <row r="32" spans="1:17" x14ac:dyDescent="0.2">
      <c r="A32" s="30" t="s">
        <v>126</v>
      </c>
      <c r="B32" s="40" t="s">
        <v>127</v>
      </c>
      <c r="C32" s="55">
        <f>VLOOKUP($B32, HSBC!$D:$E, 2, FALSE)</f>
        <v>4</v>
      </c>
      <c r="D32" s="55">
        <f>VLOOKUP($B32, Barclays!$D:$E, 2, FALSE)</f>
        <v>3</v>
      </c>
      <c r="E32" s="55">
        <f>VLOOKUP($B32, Lloyds!$D:$E, 2, FALSE)</f>
        <v>2</v>
      </c>
      <c r="F32" s="61">
        <f>VLOOKUP($B32, Aviva!$D:$E, 2, FALSE)</f>
        <v>2</v>
      </c>
      <c r="G32" s="61">
        <f>VLOOKUP($B32, LG!$D:$E, 2, FALSE)</f>
        <v>2</v>
      </c>
      <c r="H32" s="61">
        <f>VLOOKUP($B32, Prudential!$D:$E, 2, FALSE)</f>
        <v>3</v>
      </c>
      <c r="I32" s="67">
        <f>VLOOKUP($B32, '3i'!$D:$E, 2, FALSE)</f>
        <v>3</v>
      </c>
      <c r="J32" s="67">
        <f>VLOOKUP($B32, MG!$D:$E, 2, FALSE)</f>
        <v>2</v>
      </c>
      <c r="K32" s="67">
        <f>VLOOKUP($B32, Schroders!$D:$E, 2, FALSE)</f>
        <v>2</v>
      </c>
      <c r="L32" s="73">
        <f>VLOOKUP($B32, LSEG!$D:$E, 2, FALSE)</f>
        <v>2</v>
      </c>
      <c r="M32" s="73">
        <f>VLOOKUP($B32, Experian!$D:$E, 2, FALSE)</f>
        <v>3</v>
      </c>
      <c r="N32" s="73">
        <f>VLOOKUP($B32, Wise!$D:$E, 2, FALSE)</f>
        <v>2</v>
      </c>
      <c r="O32" s="43">
        <f t="shared" si="3"/>
        <v>2.5</v>
      </c>
      <c r="P32" s="43" t="str">
        <f t="shared" si="4"/>
        <v>5/12</v>
      </c>
      <c r="Q32" s="45" t="str">
        <f t="shared" si="2"/>
        <v>1/12</v>
      </c>
    </row>
    <row r="33" spans="1:17" ht="26" x14ac:dyDescent="0.2">
      <c r="A33" s="47" t="s">
        <v>130</v>
      </c>
      <c r="B33" s="41" t="s">
        <v>131</v>
      </c>
      <c r="C33" s="56">
        <f>VLOOKUP($B33, HSBC!$D:$E, 2, FALSE)</f>
        <v>4</v>
      </c>
      <c r="D33" s="56">
        <f>VLOOKUP($B33, Barclays!$D:$E, 2, FALSE)</f>
        <v>4</v>
      </c>
      <c r="E33" s="56">
        <f>VLOOKUP($B33, Lloyds!$D:$E, 2, FALSE)</f>
        <v>3</v>
      </c>
      <c r="F33" s="62">
        <f>VLOOKUP($B33, Aviva!$D:$E, 2, FALSE)</f>
        <v>3</v>
      </c>
      <c r="G33" s="62">
        <f>VLOOKUP($B33, LG!$D:$E, 2, FALSE)</f>
        <v>4</v>
      </c>
      <c r="H33" s="62">
        <f>VLOOKUP($B33, Prudential!$D:$E, 2, FALSE)</f>
        <v>4</v>
      </c>
      <c r="I33" s="68">
        <f>VLOOKUP($B33, '3i'!$D:$E, 2, FALSE)</f>
        <v>2</v>
      </c>
      <c r="J33" s="68">
        <f>VLOOKUP($B33, MG!$D:$E, 2, FALSE)</f>
        <v>3</v>
      </c>
      <c r="K33" s="68">
        <f>VLOOKUP($B33, Schroders!$D:$E, 2, FALSE)</f>
        <v>4</v>
      </c>
      <c r="L33" s="74">
        <f>VLOOKUP($B33, LSEG!$D:$E, 2, FALSE)</f>
        <v>3</v>
      </c>
      <c r="M33" s="74">
        <f>VLOOKUP($B33, Experian!$D:$E, 2, FALSE)</f>
        <v>4</v>
      </c>
      <c r="N33" s="74">
        <f>VLOOKUP($B33, Wise!$D:$E, 2, FALSE)</f>
        <v>4</v>
      </c>
      <c r="O33" s="44">
        <f t="shared" si="3"/>
        <v>3.5</v>
      </c>
      <c r="P33" s="44" t="str">
        <f t="shared" si="4"/>
        <v>11/12</v>
      </c>
      <c r="Q33" s="45" t="str">
        <f t="shared" si="2"/>
        <v>7/12</v>
      </c>
    </row>
    <row r="34" spans="1:17" x14ac:dyDescent="0.2">
      <c r="A34" s="52"/>
      <c r="B34" s="50" t="s">
        <v>925</v>
      </c>
      <c r="C34" s="57"/>
      <c r="D34" s="57"/>
      <c r="E34" s="57"/>
      <c r="F34" s="63"/>
      <c r="G34" s="63"/>
      <c r="H34" s="63"/>
      <c r="I34" s="69"/>
      <c r="J34" s="69"/>
      <c r="K34" s="69"/>
      <c r="L34" s="75"/>
      <c r="M34" s="75"/>
      <c r="N34" s="75"/>
      <c r="O34" s="46"/>
      <c r="P34" s="46"/>
      <c r="Q34" s="46"/>
    </row>
    <row r="35" spans="1:17" ht="26" x14ac:dyDescent="0.2">
      <c r="A35" s="48" t="s">
        <v>136</v>
      </c>
      <c r="B35" s="49" t="s">
        <v>137</v>
      </c>
      <c r="C35" s="54">
        <f>VLOOKUP($B35, HSBC!$D:$E, 2, FALSE)</f>
        <v>4</v>
      </c>
      <c r="D35" s="54">
        <f>VLOOKUP($B35, Barclays!$D:$E, 2, FALSE)</f>
        <v>3</v>
      </c>
      <c r="E35" s="54">
        <f>VLOOKUP($B35, Lloyds!$D:$E, 2, FALSE)</f>
        <v>2</v>
      </c>
      <c r="F35" s="60">
        <f>VLOOKUP($B35, Aviva!$D:$E, 2, FALSE)</f>
        <v>1</v>
      </c>
      <c r="G35" s="60">
        <f>VLOOKUP($B35, LG!$D:$E, 2, FALSE)</f>
        <v>2</v>
      </c>
      <c r="H35" s="60">
        <f>VLOOKUP($B35, Prudential!$D:$E, 2, FALSE)</f>
        <v>2</v>
      </c>
      <c r="I35" s="66">
        <f>VLOOKUP($B35, '3i'!$D:$E, 2, FALSE)</f>
        <v>2</v>
      </c>
      <c r="J35" s="66">
        <f>VLOOKUP($B35, MG!$D:$E, 2, FALSE)</f>
        <v>2</v>
      </c>
      <c r="K35" s="66">
        <f>VLOOKUP($B35, Schroders!$D:$E, 2, FALSE)</f>
        <v>3</v>
      </c>
      <c r="L35" s="72">
        <f>VLOOKUP($B35, LSEG!$D:$E, 2, FALSE)</f>
        <v>2</v>
      </c>
      <c r="M35" s="72">
        <f>VLOOKUP($B35, Experian!$D:$E, 2, FALSE)</f>
        <v>3</v>
      </c>
      <c r="N35" s="72">
        <f>VLOOKUP($B35, Wise!$D:$E, 2, FALSE)</f>
        <v>2</v>
      </c>
      <c r="O35" s="45">
        <f t="shared" ref="O35:O49" si="5">ROUND(AVERAGE($C35:$N35), 2)</f>
        <v>2.33</v>
      </c>
      <c r="P35" s="45" t="str">
        <f t="shared" ref="P35:P49" si="6">COUNTIF($C35:$N35, "&gt;=3") &amp; "/12"</f>
        <v>4/12</v>
      </c>
      <c r="Q35" s="45" t="str">
        <f t="shared" si="2"/>
        <v>1/12</v>
      </c>
    </row>
    <row r="36" spans="1:17" ht="26" x14ac:dyDescent="0.2">
      <c r="A36" s="30" t="s">
        <v>140</v>
      </c>
      <c r="B36" s="40" t="s">
        <v>141</v>
      </c>
      <c r="C36" s="55">
        <f>VLOOKUP($B36, HSBC!$D:$E, 2, FALSE)</f>
        <v>2</v>
      </c>
      <c r="D36" s="55">
        <f>VLOOKUP($B36, Barclays!$D:$E, 2, FALSE)</f>
        <v>2</v>
      </c>
      <c r="E36" s="55">
        <f>VLOOKUP($B36, Lloyds!$D:$E, 2, FALSE)</f>
        <v>2</v>
      </c>
      <c r="F36" s="61">
        <f>VLOOKUP($B36, Aviva!$D:$E, 2, FALSE)</f>
        <v>1</v>
      </c>
      <c r="G36" s="61">
        <f>VLOOKUP($B36, LG!$D:$E, 2, FALSE)</f>
        <v>2</v>
      </c>
      <c r="H36" s="61">
        <f>VLOOKUP($B36, Prudential!$D:$E, 2, FALSE)</f>
        <v>2</v>
      </c>
      <c r="I36" s="67">
        <f>VLOOKUP($B36, '3i'!$D:$E, 2, FALSE)</f>
        <v>2</v>
      </c>
      <c r="J36" s="67">
        <f>VLOOKUP($B36, MG!$D:$E, 2, FALSE)</f>
        <v>2</v>
      </c>
      <c r="K36" s="67">
        <f>VLOOKUP($B36, Schroders!$D:$E, 2, FALSE)</f>
        <v>2</v>
      </c>
      <c r="L36" s="73">
        <f>VLOOKUP($B36, LSEG!$D:$E, 2, FALSE)</f>
        <v>2</v>
      </c>
      <c r="M36" s="73">
        <f>VLOOKUP($B36, Experian!$D:$E, 2, FALSE)</f>
        <v>2</v>
      </c>
      <c r="N36" s="73">
        <f>VLOOKUP($B36, Wise!$D:$E, 2, FALSE)</f>
        <v>2</v>
      </c>
      <c r="O36" s="43">
        <f t="shared" si="5"/>
        <v>1.92</v>
      </c>
      <c r="P36" s="43" t="str">
        <f t="shared" si="6"/>
        <v>0/12</v>
      </c>
      <c r="Q36" s="45" t="str">
        <f t="shared" si="2"/>
        <v>0/12</v>
      </c>
    </row>
    <row r="37" spans="1:17" ht="26" x14ac:dyDescent="0.2">
      <c r="A37" s="30" t="s">
        <v>143</v>
      </c>
      <c r="B37" s="40" t="s">
        <v>144</v>
      </c>
      <c r="C37" s="55">
        <f>VLOOKUP($B37, HSBC!$D:$E, 2, FALSE)</f>
        <v>4</v>
      </c>
      <c r="D37" s="55">
        <f>VLOOKUP($B37, Barclays!$D:$E, 2, FALSE)</f>
        <v>4</v>
      </c>
      <c r="E37" s="55">
        <f>VLOOKUP($B37, Lloyds!$D:$E, 2, FALSE)</f>
        <v>3</v>
      </c>
      <c r="F37" s="61">
        <f>VLOOKUP($B37, Aviva!$D:$E, 2, FALSE)</f>
        <v>1</v>
      </c>
      <c r="G37" s="61">
        <f>VLOOKUP($B37, LG!$D:$E, 2, FALSE)</f>
        <v>2</v>
      </c>
      <c r="H37" s="61">
        <f>VLOOKUP($B37, Prudential!$D:$E, 2, FALSE)</f>
        <v>3</v>
      </c>
      <c r="I37" s="67">
        <f>VLOOKUP($B37, '3i'!$D:$E, 2, FALSE)</f>
        <v>2</v>
      </c>
      <c r="J37" s="67">
        <f>VLOOKUP($B37, MG!$D:$E, 2, FALSE)</f>
        <v>2</v>
      </c>
      <c r="K37" s="67">
        <f>VLOOKUP($B37, Schroders!$D:$E, 2, FALSE)</f>
        <v>3</v>
      </c>
      <c r="L37" s="73">
        <f>VLOOKUP($B37, LSEG!$D:$E, 2, FALSE)</f>
        <v>3</v>
      </c>
      <c r="M37" s="73">
        <f>VLOOKUP($B37, Experian!$D:$E, 2, FALSE)</f>
        <v>3</v>
      </c>
      <c r="N37" s="73">
        <f>VLOOKUP($B37, Wise!$D:$E, 2, FALSE)</f>
        <v>3</v>
      </c>
      <c r="O37" s="43">
        <f t="shared" si="5"/>
        <v>2.75</v>
      </c>
      <c r="P37" s="43" t="str">
        <f t="shared" si="6"/>
        <v>8/12</v>
      </c>
      <c r="Q37" s="45" t="str">
        <f t="shared" si="2"/>
        <v>2/12</v>
      </c>
    </row>
    <row r="38" spans="1:17" ht="26" x14ac:dyDescent="0.2">
      <c r="A38" s="30" t="s">
        <v>146</v>
      </c>
      <c r="B38" s="40" t="s">
        <v>147</v>
      </c>
      <c r="C38" s="55">
        <f>VLOOKUP($B38, HSBC!$D:$E, 2, FALSE)</f>
        <v>3</v>
      </c>
      <c r="D38" s="55">
        <f>VLOOKUP($B38, Barclays!$D:$E, 2, FALSE)</f>
        <v>3</v>
      </c>
      <c r="E38" s="55">
        <f>VLOOKUP($B38, Lloyds!$D:$E, 2, FALSE)</f>
        <v>3</v>
      </c>
      <c r="F38" s="61">
        <f>VLOOKUP($B38, Aviva!$D:$E, 2, FALSE)</f>
        <v>1</v>
      </c>
      <c r="G38" s="61">
        <f>VLOOKUP($B38, LG!$D:$E, 2, FALSE)</f>
        <v>3</v>
      </c>
      <c r="H38" s="61">
        <f>VLOOKUP($B38, Prudential!$D:$E, 2, FALSE)</f>
        <v>3</v>
      </c>
      <c r="I38" s="67">
        <f>VLOOKUP($B38, '3i'!$D:$E, 2, FALSE)</f>
        <v>2</v>
      </c>
      <c r="J38" s="67">
        <f>VLOOKUP($B38, MG!$D:$E, 2, FALSE)</f>
        <v>2</v>
      </c>
      <c r="K38" s="67">
        <f>VLOOKUP($B38, Schroders!$D:$E, 2, FALSE)</f>
        <v>3</v>
      </c>
      <c r="L38" s="73">
        <f>VLOOKUP($B38, LSEG!$D:$E, 2, FALSE)</f>
        <v>3</v>
      </c>
      <c r="M38" s="73">
        <f>VLOOKUP($B38, Experian!$D:$E, 2, FALSE)</f>
        <v>3</v>
      </c>
      <c r="N38" s="73">
        <f>VLOOKUP($B38, Wise!$D:$E, 2, FALSE)</f>
        <v>3</v>
      </c>
      <c r="O38" s="43">
        <f t="shared" si="5"/>
        <v>2.67</v>
      </c>
      <c r="P38" s="43" t="str">
        <f t="shared" si="6"/>
        <v>9/12</v>
      </c>
      <c r="Q38" s="45" t="str">
        <f t="shared" si="2"/>
        <v>0/12</v>
      </c>
    </row>
    <row r="39" spans="1:17" x14ac:dyDescent="0.2">
      <c r="A39" s="30" t="s">
        <v>149</v>
      </c>
      <c r="B39" s="40" t="s">
        <v>150</v>
      </c>
      <c r="C39" s="55">
        <f>VLOOKUP($B39, HSBC!$D:$E, 2, FALSE)</f>
        <v>2</v>
      </c>
      <c r="D39" s="55">
        <f>VLOOKUP($B39, Barclays!$D:$E, 2, FALSE)</f>
        <v>2</v>
      </c>
      <c r="E39" s="55">
        <f>VLOOKUP($B39, Lloyds!$D:$E, 2, FALSE)</f>
        <v>3</v>
      </c>
      <c r="F39" s="61">
        <f>VLOOKUP($B39, Aviva!$D:$E, 2, FALSE)</f>
        <v>1</v>
      </c>
      <c r="G39" s="61">
        <f>VLOOKUP($B39, LG!$D:$E, 2, FALSE)</f>
        <v>2</v>
      </c>
      <c r="H39" s="61">
        <f>VLOOKUP($B39, Prudential!$D:$E, 2, FALSE)</f>
        <v>2</v>
      </c>
      <c r="I39" s="67">
        <f>VLOOKUP($B39, '3i'!$D:$E, 2, FALSE)</f>
        <v>1</v>
      </c>
      <c r="J39" s="67">
        <f>VLOOKUP($B39, MG!$D:$E, 2, FALSE)</f>
        <v>2</v>
      </c>
      <c r="K39" s="67">
        <f>VLOOKUP($B39, Schroders!$D:$E, 2, FALSE)</f>
        <v>2</v>
      </c>
      <c r="L39" s="73">
        <f>VLOOKUP($B39, LSEG!$D:$E, 2, FALSE)</f>
        <v>3</v>
      </c>
      <c r="M39" s="73">
        <f>VLOOKUP($B39, Experian!$D:$E, 2, FALSE)</f>
        <v>3</v>
      </c>
      <c r="N39" s="73">
        <f>VLOOKUP($B39, Wise!$D:$E, 2, FALSE)</f>
        <v>3</v>
      </c>
      <c r="O39" s="43">
        <f t="shared" si="5"/>
        <v>2.17</v>
      </c>
      <c r="P39" s="43" t="str">
        <f t="shared" si="6"/>
        <v>4/12</v>
      </c>
      <c r="Q39" s="45" t="str">
        <f t="shared" si="2"/>
        <v>0/12</v>
      </c>
    </row>
    <row r="40" spans="1:17" ht="26" x14ac:dyDescent="0.2">
      <c r="A40" s="30" t="s">
        <v>153</v>
      </c>
      <c r="B40" s="40" t="s">
        <v>154</v>
      </c>
      <c r="C40" s="55">
        <f>VLOOKUP($B40, HSBC!$D:$E, 2, FALSE)</f>
        <v>3</v>
      </c>
      <c r="D40" s="55">
        <f>VLOOKUP($B40, Barclays!$D:$E, 2, FALSE)</f>
        <v>3</v>
      </c>
      <c r="E40" s="55">
        <f>VLOOKUP($B40, Lloyds!$D:$E, 2, FALSE)</f>
        <v>3</v>
      </c>
      <c r="F40" s="61">
        <f>VLOOKUP($B40, Aviva!$D:$E, 2, FALSE)</f>
        <v>1</v>
      </c>
      <c r="G40" s="61">
        <f>VLOOKUP($B40, LG!$D:$E, 2, FALSE)</f>
        <v>2</v>
      </c>
      <c r="H40" s="61">
        <f>VLOOKUP($B40, Prudential!$D:$E, 2, FALSE)</f>
        <v>2</v>
      </c>
      <c r="I40" s="67">
        <f>VLOOKUP($B40, '3i'!$D:$E, 2, FALSE)</f>
        <v>1</v>
      </c>
      <c r="J40" s="67">
        <f>VLOOKUP($B40, MG!$D:$E, 2, FALSE)</f>
        <v>2</v>
      </c>
      <c r="K40" s="67">
        <f>VLOOKUP($B40, Schroders!$D:$E, 2, FALSE)</f>
        <v>2</v>
      </c>
      <c r="L40" s="73">
        <f>VLOOKUP($B40, LSEG!$D:$E, 2, FALSE)</f>
        <v>2</v>
      </c>
      <c r="M40" s="73">
        <f>VLOOKUP($B40, Experian!$D:$E, 2, FALSE)</f>
        <v>3</v>
      </c>
      <c r="N40" s="73">
        <f>VLOOKUP($B40, Wise!$D:$E, 2, FALSE)</f>
        <v>3</v>
      </c>
      <c r="O40" s="43">
        <f t="shared" si="5"/>
        <v>2.25</v>
      </c>
      <c r="P40" s="43" t="str">
        <f t="shared" si="6"/>
        <v>5/12</v>
      </c>
      <c r="Q40" s="45" t="str">
        <f t="shared" si="2"/>
        <v>0/12</v>
      </c>
    </row>
    <row r="41" spans="1:17" x14ac:dyDescent="0.2">
      <c r="A41" s="30" t="s">
        <v>156</v>
      </c>
      <c r="B41" s="40" t="s">
        <v>157</v>
      </c>
      <c r="C41" s="55">
        <f>VLOOKUP($B41, HSBC!$D:$E, 2, FALSE)</f>
        <v>2</v>
      </c>
      <c r="D41" s="55">
        <f>VLOOKUP($B41, Barclays!$D:$E, 2, FALSE)</f>
        <v>2</v>
      </c>
      <c r="E41" s="55">
        <f>VLOOKUP($B41, Lloyds!$D:$E, 2, FALSE)</f>
        <v>2</v>
      </c>
      <c r="F41" s="61">
        <f>VLOOKUP($B41, Aviva!$D:$E, 2, FALSE)</f>
        <v>1</v>
      </c>
      <c r="G41" s="61">
        <f>VLOOKUP($B41, LG!$D:$E, 2, FALSE)</f>
        <v>3</v>
      </c>
      <c r="H41" s="61">
        <f>VLOOKUP($B41, Prudential!$D:$E, 2, FALSE)</f>
        <v>2</v>
      </c>
      <c r="I41" s="67">
        <f>VLOOKUP($B41, '3i'!$D:$E, 2, FALSE)</f>
        <v>1</v>
      </c>
      <c r="J41" s="67">
        <f>VLOOKUP($B41, MG!$D:$E, 2, FALSE)</f>
        <v>2</v>
      </c>
      <c r="K41" s="67">
        <f>VLOOKUP($B41, Schroders!$D:$E, 2, FALSE)</f>
        <v>2</v>
      </c>
      <c r="L41" s="73">
        <f>VLOOKUP($B41, LSEG!$D:$E, 2, FALSE)</f>
        <v>1</v>
      </c>
      <c r="M41" s="73">
        <f>VLOOKUP($B41, Experian!$D:$E, 2, FALSE)</f>
        <v>3</v>
      </c>
      <c r="N41" s="73">
        <f>VLOOKUP($B41, Wise!$D:$E, 2, FALSE)</f>
        <v>1</v>
      </c>
      <c r="O41" s="43">
        <f t="shared" si="5"/>
        <v>1.83</v>
      </c>
      <c r="P41" s="43" t="str">
        <f t="shared" si="6"/>
        <v>2/12</v>
      </c>
      <c r="Q41" s="45" t="str">
        <f t="shared" si="2"/>
        <v>0/12</v>
      </c>
    </row>
    <row r="42" spans="1:17" ht="26" x14ac:dyDescent="0.2">
      <c r="A42" s="30" t="s">
        <v>159</v>
      </c>
      <c r="B42" s="40" t="s">
        <v>160</v>
      </c>
      <c r="C42" s="55">
        <f>VLOOKUP($B42, HSBC!$D:$E, 2, FALSE)</f>
        <v>2</v>
      </c>
      <c r="D42" s="55">
        <f>VLOOKUP($B42, Barclays!$D:$E, 2, FALSE)</f>
        <v>3</v>
      </c>
      <c r="E42" s="55">
        <f>VLOOKUP($B42, Lloyds!$D:$E, 2, FALSE)</f>
        <v>2</v>
      </c>
      <c r="F42" s="61">
        <f>VLOOKUP($B42, Aviva!$D:$E, 2, FALSE)</f>
        <v>1</v>
      </c>
      <c r="G42" s="61">
        <f>VLOOKUP($B42, LG!$D:$E, 2, FALSE)</f>
        <v>2</v>
      </c>
      <c r="H42" s="61">
        <f>VLOOKUP($B42, Prudential!$D:$E, 2, FALSE)</f>
        <v>3</v>
      </c>
      <c r="I42" s="67">
        <f>VLOOKUP($B42, '3i'!$D:$E, 2, FALSE)</f>
        <v>1</v>
      </c>
      <c r="J42" s="67">
        <f>VLOOKUP($B42, MG!$D:$E, 2, FALSE)</f>
        <v>3</v>
      </c>
      <c r="K42" s="67">
        <f>VLOOKUP($B42, Schroders!$D:$E, 2, FALSE)</f>
        <v>2</v>
      </c>
      <c r="L42" s="73">
        <f>VLOOKUP($B42, LSEG!$D:$E, 2, FALSE)</f>
        <v>2</v>
      </c>
      <c r="M42" s="73">
        <f>VLOOKUP($B42, Experian!$D:$E, 2, FALSE)</f>
        <v>2</v>
      </c>
      <c r="N42" s="73">
        <f>VLOOKUP($B42, Wise!$D:$E, 2, FALSE)</f>
        <v>2</v>
      </c>
      <c r="O42" s="43">
        <f t="shared" si="5"/>
        <v>2.08</v>
      </c>
      <c r="P42" s="43" t="str">
        <f t="shared" si="6"/>
        <v>3/12</v>
      </c>
      <c r="Q42" s="45" t="str">
        <f t="shared" si="2"/>
        <v>0/12</v>
      </c>
    </row>
    <row r="43" spans="1:17" x14ac:dyDescent="0.2">
      <c r="A43" s="30" t="s">
        <v>162</v>
      </c>
      <c r="B43" s="40" t="s">
        <v>163</v>
      </c>
      <c r="C43" s="55">
        <f>VLOOKUP($B43, HSBC!$D:$E, 2, FALSE)</f>
        <v>3</v>
      </c>
      <c r="D43" s="55">
        <f>VLOOKUP($B43, Barclays!$D:$E, 2, FALSE)</f>
        <v>3</v>
      </c>
      <c r="E43" s="55">
        <f>VLOOKUP($B43, Lloyds!$D:$E, 2, FALSE)</f>
        <v>3</v>
      </c>
      <c r="F43" s="61">
        <f>VLOOKUP($B43, Aviva!$D:$E, 2, FALSE)</f>
        <v>2</v>
      </c>
      <c r="G43" s="61">
        <f>VLOOKUP($B43, LG!$D:$E, 2, FALSE)</f>
        <v>2</v>
      </c>
      <c r="H43" s="61">
        <f>VLOOKUP($B43, Prudential!$D:$E, 2, FALSE)</f>
        <v>3</v>
      </c>
      <c r="I43" s="67">
        <f>VLOOKUP($B43, '3i'!$D:$E, 2, FALSE)</f>
        <v>1</v>
      </c>
      <c r="J43" s="67">
        <f>VLOOKUP($B43, MG!$D:$E, 2, FALSE)</f>
        <v>2</v>
      </c>
      <c r="K43" s="67">
        <f>VLOOKUP($B43, Schroders!$D:$E, 2, FALSE)</f>
        <v>2</v>
      </c>
      <c r="L43" s="73">
        <f>VLOOKUP($B43, LSEG!$D:$E, 2, FALSE)</f>
        <v>2</v>
      </c>
      <c r="M43" s="73">
        <f>VLOOKUP($B43, Experian!$D:$E, 2, FALSE)</f>
        <v>4</v>
      </c>
      <c r="N43" s="73">
        <f>VLOOKUP($B43, Wise!$D:$E, 2, FALSE)</f>
        <v>2</v>
      </c>
      <c r="O43" s="43">
        <f t="shared" si="5"/>
        <v>2.42</v>
      </c>
      <c r="P43" s="43" t="str">
        <f t="shared" si="6"/>
        <v>5/12</v>
      </c>
      <c r="Q43" s="45" t="str">
        <f t="shared" si="2"/>
        <v>1/12</v>
      </c>
    </row>
    <row r="44" spans="1:17" ht="26" x14ac:dyDescent="0.2">
      <c r="A44" s="30" t="s">
        <v>166</v>
      </c>
      <c r="B44" s="40" t="s">
        <v>167</v>
      </c>
      <c r="C44" s="55">
        <f>VLOOKUP($B44, HSBC!$D:$E, 2, FALSE)</f>
        <v>1</v>
      </c>
      <c r="D44" s="55">
        <f>VLOOKUP($B44, Barclays!$D:$E, 2, FALSE)</f>
        <v>2</v>
      </c>
      <c r="E44" s="55">
        <f>VLOOKUP($B44, Lloyds!$D:$E, 2, FALSE)</f>
        <v>1</v>
      </c>
      <c r="F44" s="61">
        <f>VLOOKUP($B44, Aviva!$D:$E, 2, FALSE)</f>
        <v>1</v>
      </c>
      <c r="G44" s="61">
        <f>VLOOKUP($B44, LG!$D:$E, 2, FALSE)</f>
        <v>1</v>
      </c>
      <c r="H44" s="61">
        <f>VLOOKUP($B44, Prudential!$D:$E, 2, FALSE)</f>
        <v>2</v>
      </c>
      <c r="I44" s="67">
        <f>VLOOKUP($B44, '3i'!$D:$E, 2, FALSE)</f>
        <v>1</v>
      </c>
      <c r="J44" s="67">
        <f>VLOOKUP($B44, MG!$D:$E, 2, FALSE)</f>
        <v>1</v>
      </c>
      <c r="K44" s="67">
        <f>VLOOKUP($B44, Schroders!$D:$E, 2, FALSE)</f>
        <v>1</v>
      </c>
      <c r="L44" s="73">
        <f>VLOOKUP($B44, LSEG!$D:$E, 2, FALSE)</f>
        <v>1</v>
      </c>
      <c r="M44" s="73">
        <f>VLOOKUP($B44, Experian!$D:$E, 2, FALSE)</f>
        <v>2</v>
      </c>
      <c r="N44" s="73">
        <f>VLOOKUP($B44, Wise!$D:$E, 2, FALSE)</f>
        <v>1</v>
      </c>
      <c r="O44" s="43">
        <f t="shared" si="5"/>
        <v>1.25</v>
      </c>
      <c r="P44" s="43" t="str">
        <f t="shared" si="6"/>
        <v>0/12</v>
      </c>
      <c r="Q44" s="45" t="str">
        <f t="shared" si="2"/>
        <v>0/12</v>
      </c>
    </row>
    <row r="45" spans="1:17" ht="26" x14ac:dyDescent="0.2">
      <c r="A45" s="30" t="s">
        <v>169</v>
      </c>
      <c r="B45" s="40" t="s">
        <v>170</v>
      </c>
      <c r="C45" s="55">
        <f>VLOOKUP($B45, HSBC!$D:$E, 2, FALSE)</f>
        <v>1</v>
      </c>
      <c r="D45" s="55">
        <f>VLOOKUP($B45, Barclays!$D:$E, 2, FALSE)</f>
        <v>1</v>
      </c>
      <c r="E45" s="55">
        <f>VLOOKUP($B45, Lloyds!$D:$E, 2, FALSE)</f>
        <v>1</v>
      </c>
      <c r="F45" s="61">
        <f>VLOOKUP($B45, Aviva!$D:$E, 2, FALSE)</f>
        <v>1</v>
      </c>
      <c r="G45" s="61">
        <f>VLOOKUP($B45, LG!$D:$E, 2, FALSE)</f>
        <v>1</v>
      </c>
      <c r="H45" s="61">
        <f>VLOOKUP($B45, Prudential!$D:$E, 2, FALSE)</f>
        <v>2</v>
      </c>
      <c r="I45" s="67">
        <f>VLOOKUP($B45, '3i'!$D:$E, 2, FALSE)</f>
        <v>1</v>
      </c>
      <c r="J45" s="67">
        <f>VLOOKUP($B45, MG!$D:$E, 2, FALSE)</f>
        <v>1</v>
      </c>
      <c r="K45" s="67">
        <f>VLOOKUP($B45, Schroders!$D:$E, 2, FALSE)</f>
        <v>1</v>
      </c>
      <c r="L45" s="73">
        <f>VLOOKUP($B45, LSEG!$D:$E, 2, FALSE)</f>
        <v>1</v>
      </c>
      <c r="M45" s="73">
        <f>VLOOKUP($B45, Experian!$D:$E, 2, FALSE)</f>
        <v>1</v>
      </c>
      <c r="N45" s="73">
        <f>VLOOKUP($B45, Wise!$D:$E, 2, FALSE)</f>
        <v>1</v>
      </c>
      <c r="O45" s="43">
        <f t="shared" si="5"/>
        <v>1.08</v>
      </c>
      <c r="P45" s="43" t="str">
        <f t="shared" si="6"/>
        <v>0/12</v>
      </c>
      <c r="Q45" s="45" t="str">
        <f t="shared" si="2"/>
        <v>0/12</v>
      </c>
    </row>
    <row r="46" spans="1:17" ht="26" x14ac:dyDescent="0.2">
      <c r="A46" s="30" t="s">
        <v>172</v>
      </c>
      <c r="B46" s="40" t="s">
        <v>173</v>
      </c>
      <c r="C46" s="55">
        <f>VLOOKUP($B46, HSBC!$D:$E, 2, FALSE)</f>
        <v>3</v>
      </c>
      <c r="D46" s="55">
        <f>VLOOKUP($B46, Barclays!$D:$E, 2, FALSE)</f>
        <v>3</v>
      </c>
      <c r="E46" s="55">
        <f>VLOOKUP($B46, Lloyds!$D:$E, 2, FALSE)</f>
        <v>2</v>
      </c>
      <c r="F46" s="61">
        <f>VLOOKUP($B46, Aviva!$D:$E, 2, FALSE)</f>
        <v>2</v>
      </c>
      <c r="G46" s="61">
        <f>VLOOKUP($B46, LG!$D:$E, 2, FALSE)</f>
        <v>2</v>
      </c>
      <c r="H46" s="61">
        <f>VLOOKUP($B46, Prudential!$D:$E, 2, FALSE)</f>
        <v>3</v>
      </c>
      <c r="I46" s="67">
        <f>VLOOKUP($B46, '3i'!$D:$E, 2, FALSE)</f>
        <v>2</v>
      </c>
      <c r="J46" s="67">
        <f>VLOOKUP($B46, MG!$D:$E, 2, FALSE)</f>
        <v>2</v>
      </c>
      <c r="K46" s="67">
        <f>VLOOKUP($B46, Schroders!$D:$E, 2, FALSE)</f>
        <v>3</v>
      </c>
      <c r="L46" s="73">
        <f>VLOOKUP($B46, LSEG!$D:$E, 2, FALSE)</f>
        <v>2</v>
      </c>
      <c r="M46" s="73">
        <f>VLOOKUP($B46, Experian!$D:$E, 2, FALSE)</f>
        <v>3</v>
      </c>
      <c r="N46" s="73">
        <f>VLOOKUP($B46, Wise!$D:$E, 2, FALSE)</f>
        <v>2</v>
      </c>
      <c r="O46" s="43">
        <f t="shared" si="5"/>
        <v>2.42</v>
      </c>
      <c r="P46" s="43" t="str">
        <f t="shared" si="6"/>
        <v>5/12</v>
      </c>
      <c r="Q46" s="45" t="str">
        <f t="shared" si="2"/>
        <v>0/12</v>
      </c>
    </row>
    <row r="47" spans="1:17" x14ac:dyDescent="0.2">
      <c r="A47" s="30" t="s">
        <v>175</v>
      </c>
      <c r="B47" s="40" t="s">
        <v>176</v>
      </c>
      <c r="C47" s="55">
        <f>VLOOKUP($B47, HSBC!$D:$E, 2, FALSE)</f>
        <v>3</v>
      </c>
      <c r="D47" s="55">
        <f>VLOOKUP($B47, Barclays!$D:$E, 2, FALSE)</f>
        <v>3</v>
      </c>
      <c r="E47" s="55">
        <f>VLOOKUP($B47, Lloyds!$D:$E, 2, FALSE)</f>
        <v>3</v>
      </c>
      <c r="F47" s="61">
        <f>VLOOKUP($B47, Aviva!$D:$E, 2, FALSE)</f>
        <v>2</v>
      </c>
      <c r="G47" s="61">
        <f>VLOOKUP($B47, LG!$D:$E, 2, FALSE)</f>
        <v>2</v>
      </c>
      <c r="H47" s="61">
        <f>VLOOKUP($B47, Prudential!$D:$E, 2, FALSE)</f>
        <v>3</v>
      </c>
      <c r="I47" s="67">
        <f>VLOOKUP($B47, '3i'!$D:$E, 2, FALSE)</f>
        <v>2</v>
      </c>
      <c r="J47" s="67">
        <f>VLOOKUP($B47, MG!$D:$E, 2, FALSE)</f>
        <v>2</v>
      </c>
      <c r="K47" s="67">
        <f>VLOOKUP($B47, Schroders!$D:$E, 2, FALSE)</f>
        <v>3</v>
      </c>
      <c r="L47" s="73">
        <f>VLOOKUP($B47, LSEG!$D:$E, 2, FALSE)</f>
        <v>3</v>
      </c>
      <c r="M47" s="73">
        <f>VLOOKUP($B47, Experian!$D:$E, 2, FALSE)</f>
        <v>3</v>
      </c>
      <c r="N47" s="73">
        <f>VLOOKUP($B47, Wise!$D:$E, 2, FALSE)</f>
        <v>2</v>
      </c>
      <c r="O47" s="43">
        <f t="shared" si="5"/>
        <v>2.58</v>
      </c>
      <c r="P47" s="43" t="str">
        <f t="shared" si="6"/>
        <v>7/12</v>
      </c>
      <c r="Q47" s="45" t="str">
        <f t="shared" si="2"/>
        <v>0/12</v>
      </c>
    </row>
    <row r="48" spans="1:17" ht="26" x14ac:dyDescent="0.2">
      <c r="A48" s="30" t="s">
        <v>179</v>
      </c>
      <c r="B48" s="40" t="s">
        <v>180</v>
      </c>
      <c r="C48" s="55">
        <f>VLOOKUP($B48, HSBC!$D:$E, 2, FALSE)</f>
        <v>2</v>
      </c>
      <c r="D48" s="55">
        <f>VLOOKUP($B48, Barclays!$D:$E, 2, FALSE)</f>
        <v>3</v>
      </c>
      <c r="E48" s="55">
        <f>VLOOKUP($B48, Lloyds!$D:$E, 2, FALSE)</f>
        <v>2</v>
      </c>
      <c r="F48" s="61">
        <f>VLOOKUP($B48, Aviva!$D:$E, 2, FALSE)</f>
        <v>2</v>
      </c>
      <c r="G48" s="61">
        <f>VLOOKUP($B48, LG!$D:$E, 2, FALSE)</f>
        <v>3</v>
      </c>
      <c r="H48" s="61">
        <f>VLOOKUP($B48, Prudential!$D:$E, 2, FALSE)</f>
        <v>2</v>
      </c>
      <c r="I48" s="67">
        <f>VLOOKUP($B48, '3i'!$D:$E, 2, FALSE)</f>
        <v>1</v>
      </c>
      <c r="J48" s="67">
        <f>VLOOKUP($B48, MG!$D:$E, 2, FALSE)</f>
        <v>2</v>
      </c>
      <c r="K48" s="67">
        <f>VLOOKUP($B48, Schroders!$D:$E, 2, FALSE)</f>
        <v>3</v>
      </c>
      <c r="L48" s="73">
        <f>VLOOKUP($B48, LSEG!$D:$E, 2, FALSE)</f>
        <v>2</v>
      </c>
      <c r="M48" s="73">
        <f>VLOOKUP($B48, Experian!$D:$E, 2, FALSE)</f>
        <v>3</v>
      </c>
      <c r="N48" s="73">
        <f>VLOOKUP($B48, Wise!$D:$E, 2, FALSE)</f>
        <v>2</v>
      </c>
      <c r="O48" s="43">
        <f t="shared" si="5"/>
        <v>2.25</v>
      </c>
      <c r="P48" s="43" t="str">
        <f t="shared" si="6"/>
        <v>4/12</v>
      </c>
      <c r="Q48" s="45" t="str">
        <f t="shared" si="2"/>
        <v>0/12</v>
      </c>
    </row>
    <row r="49" spans="1:17" x14ac:dyDescent="0.2">
      <c r="A49" s="30" t="s">
        <v>183</v>
      </c>
      <c r="B49" s="40" t="s">
        <v>184</v>
      </c>
      <c r="C49" s="55">
        <f>VLOOKUP($B49, HSBC!$D:$E, 2, FALSE)</f>
        <v>3</v>
      </c>
      <c r="D49" s="55">
        <f>VLOOKUP($B49, Barclays!$D:$E, 2, FALSE)</f>
        <v>3</v>
      </c>
      <c r="E49" s="55">
        <f>VLOOKUP($B49, Lloyds!$D:$E, 2, FALSE)</f>
        <v>2</v>
      </c>
      <c r="F49" s="61">
        <f>VLOOKUP($B49, Aviva!$D:$E, 2, FALSE)</f>
        <v>1</v>
      </c>
      <c r="G49" s="61">
        <f>VLOOKUP($B49, LG!$D:$E, 2, FALSE)</f>
        <v>2</v>
      </c>
      <c r="H49" s="61">
        <f>VLOOKUP($B49, Prudential!$D:$E, 2, FALSE)</f>
        <v>3</v>
      </c>
      <c r="I49" s="67">
        <f>VLOOKUP($B49, '3i'!$D:$E, 2, FALSE)</f>
        <v>2</v>
      </c>
      <c r="J49" s="67">
        <f>VLOOKUP($B49, MG!$D:$E, 2, FALSE)</f>
        <v>2</v>
      </c>
      <c r="K49" s="67">
        <f>VLOOKUP($B49, Schroders!$D:$E, 2, FALSE)</f>
        <v>2</v>
      </c>
      <c r="L49" s="73">
        <f>VLOOKUP($B49, LSEG!$D:$E, 2, FALSE)</f>
        <v>2</v>
      </c>
      <c r="M49" s="73">
        <f>VLOOKUP($B49, Experian!$D:$E, 2, FALSE)</f>
        <v>3</v>
      </c>
      <c r="N49" s="73">
        <f>VLOOKUP($B49, Wise!$D:$E, 2, FALSE)</f>
        <v>2</v>
      </c>
      <c r="O49" s="43">
        <f t="shared" si="5"/>
        <v>2.25</v>
      </c>
      <c r="P49" s="43" t="str">
        <f t="shared" si="6"/>
        <v>4/12</v>
      </c>
      <c r="Q49" s="45" t="str">
        <f t="shared" si="2"/>
        <v>0/12</v>
      </c>
    </row>
    <row r="50" spans="1:17" x14ac:dyDescent="0.2">
      <c r="E50" s="57"/>
      <c r="G50" s="63"/>
    </row>
    <row r="51" spans="1:17" x14ac:dyDescent="0.2">
      <c r="E51" s="57"/>
      <c r="G51" s="63"/>
    </row>
    <row r="52" spans="1:17" x14ac:dyDescent="0.2">
      <c r="E52" s="57"/>
      <c r="G52" s="63"/>
    </row>
    <row r="53" spans="1:17" x14ac:dyDescent="0.2">
      <c r="E53" s="57"/>
      <c r="G53" s="63"/>
    </row>
    <row r="54" spans="1:17" x14ac:dyDescent="0.2">
      <c r="E54" s="57"/>
      <c r="G54" s="63"/>
    </row>
    <row r="55" spans="1:17" x14ac:dyDescent="0.2">
      <c r="G55" s="63"/>
    </row>
  </sheetData>
  <phoneticPr fontId="2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6B66-AE91-C449-8EC2-A11962E2182A}">
  <dimension ref="B2:D20"/>
  <sheetViews>
    <sheetView showGridLines="0" zoomScale="112" zoomScaleNormal="100" workbookViewId="0">
      <selection activeCell="C26" sqref="C26"/>
    </sheetView>
  </sheetViews>
  <sheetFormatPr baseColWidth="10" defaultColWidth="8.6640625" defaultRowHeight="15" x14ac:dyDescent="0.2"/>
  <cols>
    <col min="1" max="1" width="3" style="24" customWidth="1"/>
    <col min="2" max="2" width="18" style="24" customWidth="1"/>
    <col min="3" max="4" width="55" style="24" customWidth="1"/>
    <col min="5" max="16384" width="8.6640625" style="24"/>
  </cols>
  <sheetData>
    <row r="2" spans="2:4" ht="18" x14ac:dyDescent="0.2">
      <c r="B2" s="28" t="s">
        <v>890</v>
      </c>
    </row>
    <row r="4" spans="2:4" x14ac:dyDescent="0.2">
      <c r="B4" s="88" t="s">
        <v>889</v>
      </c>
      <c r="C4" s="87"/>
    </row>
    <row r="5" spans="2:4" x14ac:dyDescent="0.2">
      <c r="B5" s="27" t="s">
        <v>878</v>
      </c>
      <c r="C5" s="27" t="s">
        <v>877</v>
      </c>
      <c r="D5" s="27" t="s">
        <v>891</v>
      </c>
    </row>
    <row r="6" spans="2:4" ht="30" customHeight="1" x14ac:dyDescent="0.2">
      <c r="B6" s="26" t="s">
        <v>876</v>
      </c>
      <c r="C6" s="25" t="s">
        <v>888</v>
      </c>
      <c r="D6" s="25" t="s">
        <v>932</v>
      </c>
    </row>
    <row r="7" spans="2:4" ht="30" customHeight="1" x14ac:dyDescent="0.2">
      <c r="B7" s="26" t="s">
        <v>873</v>
      </c>
      <c r="C7" s="25" t="s">
        <v>887</v>
      </c>
      <c r="D7" s="25" t="s">
        <v>886</v>
      </c>
    </row>
    <row r="8" spans="2:4" ht="30" customHeight="1" x14ac:dyDescent="0.2">
      <c r="B8" s="26" t="s">
        <v>870</v>
      </c>
      <c r="C8" s="25" t="s">
        <v>885</v>
      </c>
      <c r="D8" s="25" t="s">
        <v>884</v>
      </c>
    </row>
    <row r="9" spans="2:4" ht="30" customHeight="1" x14ac:dyDescent="0.2">
      <c r="B9" s="26" t="s">
        <v>867</v>
      </c>
      <c r="C9" s="25" t="s">
        <v>883</v>
      </c>
      <c r="D9" s="25" t="s">
        <v>882</v>
      </c>
    </row>
    <row r="10" spans="2:4" ht="30" customHeight="1" x14ac:dyDescent="0.2">
      <c r="B10" s="26" t="s">
        <v>864</v>
      </c>
      <c r="C10" s="25" t="s">
        <v>881</v>
      </c>
      <c r="D10" s="25" t="s">
        <v>880</v>
      </c>
    </row>
    <row r="11" spans="2:4" ht="27.75" customHeight="1" x14ac:dyDescent="0.2">
      <c r="B11" s="82"/>
      <c r="C11" s="82"/>
      <c r="D11" s="82"/>
    </row>
    <row r="13" spans="2:4" x14ac:dyDescent="0.2">
      <c r="B13" s="89" t="s">
        <v>879</v>
      </c>
    </row>
    <row r="14" spans="2:4" x14ac:dyDescent="0.2">
      <c r="B14" s="27" t="s">
        <v>878</v>
      </c>
      <c r="C14" s="27" t="s">
        <v>877</v>
      </c>
      <c r="D14" s="27" t="s">
        <v>891</v>
      </c>
    </row>
    <row r="15" spans="2:4" ht="30" customHeight="1" x14ac:dyDescent="0.2">
      <c r="B15" s="26" t="s">
        <v>876</v>
      </c>
      <c r="C15" s="25" t="s">
        <v>875</v>
      </c>
      <c r="D15" s="25" t="s">
        <v>874</v>
      </c>
    </row>
    <row r="16" spans="2:4" ht="30" customHeight="1" x14ac:dyDescent="0.2">
      <c r="B16" s="26" t="s">
        <v>873</v>
      </c>
      <c r="C16" s="25" t="s">
        <v>872</v>
      </c>
      <c r="D16" s="25" t="s">
        <v>871</v>
      </c>
    </row>
    <row r="17" spans="2:4" ht="30" customHeight="1" x14ac:dyDescent="0.2">
      <c r="B17" s="26" t="s">
        <v>870</v>
      </c>
      <c r="C17" s="25" t="s">
        <v>869</v>
      </c>
      <c r="D17" s="25" t="s">
        <v>868</v>
      </c>
    </row>
    <row r="18" spans="2:4" ht="30" customHeight="1" x14ac:dyDescent="0.2">
      <c r="B18" s="26" t="s">
        <v>867</v>
      </c>
      <c r="C18" s="25" t="s">
        <v>866</v>
      </c>
      <c r="D18" s="25" t="s">
        <v>865</v>
      </c>
    </row>
    <row r="19" spans="2:4" ht="30" customHeight="1" x14ac:dyDescent="0.2">
      <c r="B19" s="26" t="s">
        <v>864</v>
      </c>
      <c r="C19" s="25" t="s">
        <v>863</v>
      </c>
      <c r="D19" s="25" t="s">
        <v>933</v>
      </c>
    </row>
    <row r="20" spans="2:4" ht="27.75" customHeight="1" x14ac:dyDescent="0.2">
      <c r="B20" s="82"/>
      <c r="C20" s="82"/>
      <c r="D20" s="82"/>
    </row>
  </sheetData>
  <mergeCells count="2">
    <mergeCell ref="B11:D11"/>
    <mergeCell ref="B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4CC7-7D71-F84F-BDEC-3292745CDD59}">
  <dimension ref="A1:I63"/>
  <sheetViews>
    <sheetView workbookViewId="0">
      <selection activeCell="B1" sqref="B1:D1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17" customWidth="1"/>
    <col min="7" max="7" width="7.33203125" customWidth="1"/>
    <col min="8" max="8" width="9.83203125" customWidth="1"/>
  </cols>
  <sheetData>
    <row r="1" spans="1:8" ht="19.5" customHeight="1" x14ac:dyDescent="0.2">
      <c r="A1" s="1" t="s">
        <v>0</v>
      </c>
      <c r="B1" s="83" t="s">
        <v>201</v>
      </c>
      <c r="C1" s="84"/>
      <c r="D1" s="84"/>
      <c r="E1" s="1" t="s">
        <v>1</v>
      </c>
      <c r="F1" s="83" t="s">
        <v>202</v>
      </c>
      <c r="G1" s="84"/>
      <c r="H1" s="2"/>
    </row>
    <row r="3" spans="1:8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</row>
    <row r="4" spans="1:8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/>
      <c r="F4" s="8"/>
      <c r="G4" s="7"/>
      <c r="H4" s="8"/>
    </row>
    <row r="5" spans="1:8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/>
      <c r="F5" s="8"/>
      <c r="G5" s="7"/>
      <c r="H5" s="8"/>
    </row>
    <row r="6" spans="1:8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/>
      <c r="F6" s="8"/>
      <c r="G6" s="7"/>
      <c r="H6" s="8"/>
    </row>
    <row r="7" spans="1:8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/>
      <c r="F7" s="8"/>
      <c r="G7" s="7"/>
      <c r="H7" s="8"/>
    </row>
    <row r="8" spans="1:8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/>
      <c r="F8" s="8"/>
      <c r="G8" s="7"/>
      <c r="H8" s="8"/>
    </row>
    <row r="9" spans="1:8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/>
      <c r="F9" s="8"/>
      <c r="G9" s="7"/>
      <c r="H9" s="8"/>
    </row>
    <row r="10" spans="1:8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/>
      <c r="F10" s="8"/>
      <c r="G10" s="7"/>
      <c r="H10" s="8"/>
    </row>
    <row r="11" spans="1:8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/>
      <c r="F11" s="8"/>
      <c r="G11" s="7"/>
      <c r="H11" s="8"/>
    </row>
    <row r="12" spans="1:8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/>
      <c r="F12" s="8"/>
      <c r="G12" s="7"/>
      <c r="H12" s="8"/>
    </row>
    <row r="13" spans="1:8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/>
      <c r="F13" s="8"/>
      <c r="G13" s="7"/>
      <c r="H13" s="8"/>
    </row>
    <row r="14" spans="1:8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/>
      <c r="F14" s="8"/>
      <c r="G14" s="7"/>
      <c r="H14" s="8"/>
    </row>
    <row r="15" spans="1:8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/>
      <c r="F15" s="8"/>
      <c r="G15" s="7"/>
      <c r="H15" s="8"/>
    </row>
    <row r="16" spans="1:8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/>
      <c r="F16" s="8"/>
      <c r="G16" s="7"/>
      <c r="H16" s="8"/>
    </row>
    <row r="17" spans="1:8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/>
      <c r="F17" s="8"/>
      <c r="G17" s="7"/>
      <c r="H17" s="8"/>
    </row>
    <row r="18" spans="1:8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/>
      <c r="F18" s="8"/>
      <c r="G18" s="7"/>
      <c r="H18" s="8"/>
    </row>
    <row r="19" spans="1:8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/>
      <c r="F19" s="8"/>
      <c r="G19" s="7"/>
      <c r="H19" s="8"/>
    </row>
    <row r="20" spans="1:8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/>
      <c r="F20" s="8"/>
      <c r="G20" s="7"/>
      <c r="H20" s="8"/>
    </row>
    <row r="21" spans="1:8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/>
      <c r="F21" s="8"/>
      <c r="G21" s="7"/>
      <c r="H21" s="8"/>
    </row>
    <row r="22" spans="1:8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/>
      <c r="F22" s="8"/>
      <c r="G22" s="7"/>
      <c r="H22" s="8"/>
    </row>
    <row r="23" spans="1:8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/>
      <c r="F23" s="8"/>
      <c r="G23" s="7"/>
      <c r="H23" s="8"/>
    </row>
    <row r="24" spans="1:8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/>
      <c r="F24" s="8"/>
      <c r="G24" s="7"/>
      <c r="H24" s="8"/>
    </row>
    <row r="25" spans="1:8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/>
      <c r="F25" s="8"/>
      <c r="G25" s="7"/>
      <c r="H25" s="8"/>
    </row>
    <row r="26" spans="1:8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/>
      <c r="F26" s="8"/>
      <c r="G26" s="7"/>
      <c r="H26" s="8"/>
    </row>
    <row r="27" spans="1:8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/>
      <c r="F27" s="8"/>
      <c r="G27" s="7"/>
      <c r="H27" s="8"/>
    </row>
    <row r="28" spans="1:8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/>
      <c r="F28" s="8"/>
      <c r="G28" s="7"/>
      <c r="H28" s="8"/>
    </row>
    <row r="29" spans="1:8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/>
      <c r="F29" s="8"/>
      <c r="G29" s="7"/>
      <c r="H29" s="8"/>
    </row>
    <row r="30" spans="1:8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/>
      <c r="F30" s="8"/>
      <c r="G30" s="7"/>
      <c r="H30" s="8"/>
    </row>
    <row r="31" spans="1:8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/>
      <c r="F31" s="8"/>
      <c r="G31" s="7"/>
      <c r="H31" s="8"/>
    </row>
    <row r="32" spans="1:8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/>
      <c r="F32" s="8"/>
      <c r="G32" s="7"/>
      <c r="H32" s="8"/>
    </row>
    <row r="33" spans="1:8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/>
      <c r="F33" s="8"/>
      <c r="G33" s="7"/>
      <c r="H33" s="8"/>
    </row>
    <row r="34" spans="1:8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/>
      <c r="F34" s="8"/>
      <c r="G34" s="7"/>
      <c r="H34" s="8"/>
    </row>
    <row r="35" spans="1:8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/>
      <c r="F35" s="8"/>
      <c r="G35" s="7"/>
      <c r="H35" s="8"/>
    </row>
    <row r="36" spans="1:8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/>
      <c r="F36" s="8"/>
      <c r="G36" s="7"/>
      <c r="H36" s="8"/>
    </row>
    <row r="37" spans="1:8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/>
      <c r="F37" s="8"/>
      <c r="G37" s="7"/>
      <c r="H37" s="8"/>
    </row>
    <row r="38" spans="1:8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/>
      <c r="F38" s="8"/>
      <c r="G38" s="7"/>
      <c r="H38" s="8"/>
    </row>
    <row r="39" spans="1:8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/>
      <c r="F39" s="8"/>
      <c r="G39" s="7"/>
      <c r="H39" s="8"/>
    </row>
    <row r="40" spans="1:8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/>
      <c r="F40" s="8"/>
      <c r="G40" s="7"/>
      <c r="H40" s="8"/>
    </row>
    <row r="41" spans="1:8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/>
      <c r="F41" s="8"/>
      <c r="G41" s="7"/>
      <c r="H41" s="8"/>
    </row>
    <row r="42" spans="1:8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/>
      <c r="F42" s="8"/>
      <c r="G42" s="7"/>
      <c r="H42" s="8"/>
    </row>
    <row r="43" spans="1:8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/>
      <c r="F43" s="8"/>
      <c r="G43" s="7"/>
      <c r="H43" s="8"/>
    </row>
    <row r="44" spans="1:8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/>
      <c r="F44" s="8"/>
      <c r="G44" s="7"/>
      <c r="H44" s="8"/>
    </row>
    <row r="45" spans="1:8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/>
      <c r="F45" s="8"/>
      <c r="G45" s="7"/>
      <c r="H45" s="8"/>
    </row>
    <row r="46" spans="1:8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/>
      <c r="F46" s="8"/>
      <c r="G46" s="7"/>
      <c r="H46" s="8"/>
    </row>
    <row r="47" spans="1:8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/>
      <c r="F47" s="8"/>
      <c r="G47" s="7"/>
      <c r="H47" s="8"/>
    </row>
    <row r="48" spans="1:8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/>
      <c r="F48" s="8"/>
      <c r="G48" s="7"/>
      <c r="H48" s="8"/>
    </row>
    <row r="50" spans="1:5" ht="15.75" customHeight="1" x14ac:dyDescent="0.2">
      <c r="A50" s="11" t="s">
        <v>187</v>
      </c>
    </row>
    <row r="51" spans="1:5" ht="15.75" customHeight="1" x14ac:dyDescent="0.2">
      <c r="A51" s="12" t="s">
        <v>188</v>
      </c>
      <c r="B51" s="13" t="str">
        <f>IFERROR(AVERAGE(E4,E5,E6,E7,E8,E9,E10,E11,E12,E13,E14,E15,E16,E17,E18),"")</f>
        <v/>
      </c>
    </row>
    <row r="52" spans="1:5" ht="15.75" customHeight="1" x14ac:dyDescent="0.2">
      <c r="A52" s="14" t="s">
        <v>189</v>
      </c>
      <c r="B52" s="13" t="str">
        <f>IFERROR(AVERAGE(E19,E20,E21,E22,E23,E24,E25,E26,E27,E28,E29,E30,E31,E32,E33),"")</f>
        <v/>
      </c>
    </row>
    <row r="53" spans="1:5" ht="15.75" customHeight="1" x14ac:dyDescent="0.2">
      <c r="A53" s="15" t="s">
        <v>190</v>
      </c>
      <c r="B53" s="13" t="str">
        <f>IFERROR(AVERAGE(E34,E35,E36,E37,E38,E39,E40,E41,E42,E43,E44,E45,E46,E47,E48),"")</f>
        <v/>
      </c>
    </row>
    <row r="54" spans="1:5" ht="15.75" customHeight="1" x14ac:dyDescent="0.2">
      <c r="A54" s="16" t="s">
        <v>191</v>
      </c>
      <c r="B54" s="17" t="str">
        <f>IFERROR(B52-B51,"")</f>
        <v/>
      </c>
    </row>
    <row r="56" spans="1:5" ht="15.75" customHeight="1" x14ac:dyDescent="0.2">
      <c r="A56" s="16" t="s">
        <v>192</v>
      </c>
    </row>
    <row r="57" spans="1:5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</row>
    <row r="58" spans="1:5" ht="64.5" customHeight="1" x14ac:dyDescent="0.2">
      <c r="A58" s="6" t="s">
        <v>197</v>
      </c>
      <c r="B58" s="18" t="str">
        <f>IFERROR(AVERAGE(E4,E5,E6),"")</f>
        <v/>
      </c>
      <c r="C58" s="18" t="str">
        <f>IFERROR(AVERAGE(E19,E20,E21),"")</f>
        <v/>
      </c>
      <c r="D58" s="19" t="str">
        <f>IFERROR(C58-B58,"")</f>
        <v/>
      </c>
      <c r="E58" s="18" t="str">
        <f>IFERROR(AVERAGE(E34,E35,E36),"")</f>
        <v/>
      </c>
    </row>
    <row r="59" spans="1:5" ht="39" customHeight="1" x14ac:dyDescent="0.2">
      <c r="A59" s="6" t="s">
        <v>198</v>
      </c>
      <c r="B59" s="18" t="str">
        <f>IFERROR(AVERAGE(E7,E8,E9),"")</f>
        <v/>
      </c>
      <c r="C59" s="18" t="str">
        <f>IFERROR(AVERAGE(E22,E23,E24),"")</f>
        <v/>
      </c>
      <c r="D59" s="19" t="str">
        <f>IFERROR(C59-B59,"")</f>
        <v/>
      </c>
      <c r="E59" s="18" t="str">
        <f>IFERROR(AVERAGE(E37,E38,E39),"")</f>
        <v/>
      </c>
    </row>
    <row r="60" spans="1:5" ht="64.5" customHeight="1" x14ac:dyDescent="0.2">
      <c r="A60" s="6" t="s">
        <v>199</v>
      </c>
      <c r="B60" s="18" t="str">
        <f>IFERROR(AVERAGE(E16,E17,E18),"")</f>
        <v/>
      </c>
      <c r="C60" s="18" t="str">
        <f>IFERROR(AVERAGE(E31,E32,E33),"")</f>
        <v/>
      </c>
      <c r="D60" s="19" t="str">
        <f>IFERROR(C60-B60,"")</f>
        <v/>
      </c>
      <c r="E60" s="18" t="str">
        <f>IFERROR(AVERAGE(E46,E47,E48),"")</f>
        <v/>
      </c>
    </row>
    <row r="61" spans="1:5" ht="26" x14ac:dyDescent="0.2">
      <c r="A61" s="6" t="s">
        <v>44</v>
      </c>
      <c r="B61" s="18"/>
      <c r="C61" s="18"/>
      <c r="D61" s="19"/>
      <c r="E61" s="18" t="str">
        <f>IFERROR(ROUND(AVERAGE(E40:E42),2),"")</f>
        <v/>
      </c>
    </row>
    <row r="62" spans="1:5" ht="25.5" customHeight="1" x14ac:dyDescent="0.2">
      <c r="A62" s="6" t="s">
        <v>909</v>
      </c>
      <c r="B62" s="18"/>
      <c r="C62" s="18"/>
      <c r="D62" s="19"/>
      <c r="E62" s="18" t="str">
        <f>IFERROR(ROUND(AVERAGE(E43:E45),2),"")</f>
        <v/>
      </c>
    </row>
    <row r="63" spans="1:5" x14ac:dyDescent="0.2">
      <c r="A63" s="36"/>
    </row>
  </sheetData>
  <mergeCells count="2">
    <mergeCell ref="B1:D1"/>
    <mergeCell ref="F1:G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topLeftCell="A14" zoomScale="81" zoomScaleNormal="100" workbookViewId="0">
      <selection activeCell="E13" sqref="E13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</cols>
  <sheetData>
    <row r="1" spans="1:8" ht="19.5" customHeight="1" x14ac:dyDescent="0.2">
      <c r="A1" s="1" t="s">
        <v>0</v>
      </c>
      <c r="B1" s="83" t="s">
        <v>201</v>
      </c>
      <c r="C1" s="84"/>
      <c r="D1" s="84"/>
      <c r="E1" s="1" t="s">
        <v>1</v>
      </c>
      <c r="F1" s="83" t="s">
        <v>202</v>
      </c>
      <c r="G1" s="84"/>
      <c r="H1" s="2"/>
    </row>
    <row r="3" spans="1:8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</row>
    <row r="4" spans="1:8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3</v>
      </c>
      <c r="F4" s="8" t="s">
        <v>203</v>
      </c>
      <c r="G4" s="7" t="s">
        <v>204</v>
      </c>
      <c r="H4" s="8"/>
    </row>
    <row r="5" spans="1:8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3</v>
      </c>
      <c r="F5" s="8" t="s">
        <v>206</v>
      </c>
      <c r="G5" s="7" t="s">
        <v>207</v>
      </c>
      <c r="H5" s="8" t="s">
        <v>208</v>
      </c>
    </row>
    <row r="6" spans="1:8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4</v>
      </c>
      <c r="F6" s="8" t="s">
        <v>209</v>
      </c>
      <c r="G6" s="7" t="s">
        <v>210</v>
      </c>
      <c r="H6" s="8"/>
    </row>
    <row r="7" spans="1:8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211</v>
      </c>
      <c r="G7" s="7" t="s">
        <v>212</v>
      </c>
      <c r="H7" s="8"/>
    </row>
    <row r="8" spans="1:8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4</v>
      </c>
      <c r="F8" s="8" t="s">
        <v>213</v>
      </c>
      <c r="G8" s="7" t="s">
        <v>212</v>
      </c>
      <c r="H8" s="8" t="s">
        <v>214</v>
      </c>
    </row>
    <row r="9" spans="1:8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3</v>
      </c>
      <c r="F9" s="8" t="s">
        <v>215</v>
      </c>
      <c r="G9" s="7" t="s">
        <v>216</v>
      </c>
      <c r="H9" s="8"/>
    </row>
    <row r="10" spans="1:8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3</v>
      </c>
      <c r="F10" s="8" t="s">
        <v>217</v>
      </c>
      <c r="G10" s="7" t="s">
        <v>218</v>
      </c>
      <c r="H10" s="8"/>
    </row>
    <row r="11" spans="1:8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3</v>
      </c>
      <c r="F11" s="8" t="s">
        <v>219</v>
      </c>
      <c r="G11" s="7" t="s">
        <v>220</v>
      </c>
      <c r="H11" s="8"/>
    </row>
    <row r="12" spans="1:8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2</v>
      </c>
      <c r="F12" s="8" t="s">
        <v>221</v>
      </c>
      <c r="G12" s="7" t="s">
        <v>222</v>
      </c>
      <c r="H12" s="8"/>
    </row>
    <row r="13" spans="1:8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2</v>
      </c>
      <c r="F13" s="8" t="s">
        <v>223</v>
      </c>
      <c r="G13" s="7" t="s">
        <v>222</v>
      </c>
      <c r="H13" s="8"/>
    </row>
    <row r="14" spans="1:8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2</v>
      </c>
      <c r="F14" s="8" t="s">
        <v>224</v>
      </c>
      <c r="G14" s="7" t="s">
        <v>225</v>
      </c>
      <c r="H14" s="8"/>
    </row>
    <row r="15" spans="1:8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226</v>
      </c>
      <c r="G15" s="7" t="s">
        <v>227</v>
      </c>
      <c r="H15" s="8"/>
    </row>
    <row r="16" spans="1:8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228</v>
      </c>
      <c r="G16" s="7" t="s">
        <v>229</v>
      </c>
      <c r="H16" s="8"/>
    </row>
    <row r="17" spans="1:8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230</v>
      </c>
      <c r="G17" s="7" t="s">
        <v>231</v>
      </c>
      <c r="H17" s="8"/>
    </row>
    <row r="18" spans="1:8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232</v>
      </c>
      <c r="G18" s="7" t="s">
        <v>233</v>
      </c>
      <c r="H18" s="8"/>
    </row>
    <row r="19" spans="1:8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4</v>
      </c>
      <c r="F19" s="8" t="s">
        <v>234</v>
      </c>
      <c r="G19" s="7" t="s">
        <v>227</v>
      </c>
      <c r="H19" s="8"/>
    </row>
    <row r="20" spans="1:8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4</v>
      </c>
      <c r="F20" s="8" t="s">
        <v>235</v>
      </c>
      <c r="G20" s="7" t="s">
        <v>220</v>
      </c>
      <c r="H20" s="8"/>
    </row>
    <row r="21" spans="1:8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236</v>
      </c>
      <c r="G21" s="7" t="s">
        <v>237</v>
      </c>
      <c r="H21" s="8"/>
    </row>
    <row r="22" spans="1:8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4</v>
      </c>
      <c r="F22" s="8" t="s">
        <v>238</v>
      </c>
      <c r="G22" s="7" t="s">
        <v>239</v>
      </c>
      <c r="H22" s="8"/>
    </row>
    <row r="23" spans="1:8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2</v>
      </c>
      <c r="F23" s="8" t="s">
        <v>240</v>
      </c>
      <c r="G23" s="7" t="s">
        <v>241</v>
      </c>
      <c r="H23" s="8" t="s">
        <v>242</v>
      </c>
    </row>
    <row r="24" spans="1:8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4</v>
      </c>
      <c r="F24" s="8" t="s">
        <v>243</v>
      </c>
      <c r="G24" s="7" t="s">
        <v>220</v>
      </c>
      <c r="H24" s="8"/>
    </row>
    <row r="25" spans="1:8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3</v>
      </c>
      <c r="F25" s="8" t="s">
        <v>244</v>
      </c>
      <c r="G25" s="7" t="s">
        <v>227</v>
      </c>
      <c r="H25" s="8"/>
    </row>
    <row r="26" spans="1:8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4</v>
      </c>
      <c r="F26" s="8" t="s">
        <v>245</v>
      </c>
      <c r="G26" s="7" t="s">
        <v>227</v>
      </c>
      <c r="H26" s="8"/>
    </row>
    <row r="27" spans="1:8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246</v>
      </c>
      <c r="G27" s="7" t="s">
        <v>247</v>
      </c>
      <c r="H27" s="8"/>
    </row>
    <row r="28" spans="1:8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4</v>
      </c>
      <c r="F28" s="8" t="s">
        <v>248</v>
      </c>
      <c r="G28" s="7" t="s">
        <v>227</v>
      </c>
      <c r="H28" s="8"/>
    </row>
    <row r="29" spans="1:8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4</v>
      </c>
      <c r="F29" s="8" t="s">
        <v>249</v>
      </c>
      <c r="G29" s="7" t="s">
        <v>250</v>
      </c>
      <c r="H29" s="8"/>
    </row>
    <row r="30" spans="1:8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4</v>
      </c>
      <c r="F30" s="8" t="s">
        <v>251</v>
      </c>
      <c r="G30" s="7" t="s">
        <v>227</v>
      </c>
      <c r="H30" s="8"/>
    </row>
    <row r="31" spans="1:8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4</v>
      </c>
      <c r="F31" s="8" t="s">
        <v>252</v>
      </c>
      <c r="G31" s="7" t="s">
        <v>231</v>
      </c>
      <c r="H31" s="8"/>
    </row>
    <row r="32" spans="1:8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4</v>
      </c>
      <c r="F32" s="8" t="s">
        <v>253</v>
      </c>
      <c r="G32" s="7" t="s">
        <v>227</v>
      </c>
      <c r="H32" s="8"/>
    </row>
    <row r="33" spans="1:8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4</v>
      </c>
      <c r="F33" s="8" t="s">
        <v>254</v>
      </c>
      <c r="G33" s="7" t="s">
        <v>255</v>
      </c>
      <c r="H33" s="8"/>
    </row>
    <row r="34" spans="1:8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4</v>
      </c>
      <c r="F34" s="8" t="s">
        <v>256</v>
      </c>
      <c r="G34" s="7" t="s">
        <v>231</v>
      </c>
      <c r="H34" s="8" t="s">
        <v>257</v>
      </c>
    </row>
    <row r="35" spans="1:8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258</v>
      </c>
      <c r="G35" s="7" t="s">
        <v>259</v>
      </c>
      <c r="H35" s="8"/>
    </row>
    <row r="36" spans="1:8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4</v>
      </c>
      <c r="F36" s="8" t="s">
        <v>260</v>
      </c>
      <c r="G36" s="7" t="s">
        <v>231</v>
      </c>
      <c r="H36" s="8"/>
    </row>
    <row r="37" spans="1:8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261</v>
      </c>
      <c r="G37" s="7" t="s">
        <v>216</v>
      </c>
      <c r="H37" s="8"/>
    </row>
    <row r="38" spans="1:8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2</v>
      </c>
      <c r="F38" s="8" t="s">
        <v>262</v>
      </c>
      <c r="G38" s="7" t="s">
        <v>263</v>
      </c>
      <c r="H38" s="8"/>
    </row>
    <row r="39" spans="1:8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3</v>
      </c>
      <c r="F39" s="8" t="s">
        <v>264</v>
      </c>
      <c r="G39" s="7" t="s">
        <v>265</v>
      </c>
      <c r="H39" s="8"/>
    </row>
    <row r="40" spans="1:8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2</v>
      </c>
      <c r="F40" s="8" t="s">
        <v>266</v>
      </c>
      <c r="G40" s="7" t="s">
        <v>227</v>
      </c>
      <c r="H40" s="8"/>
    </row>
    <row r="41" spans="1:8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2</v>
      </c>
      <c r="F41" s="8" t="s">
        <v>267</v>
      </c>
      <c r="G41" s="7" t="s">
        <v>227</v>
      </c>
      <c r="H41" s="8"/>
    </row>
    <row r="42" spans="1:8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3</v>
      </c>
      <c r="F42" s="8" t="s">
        <v>268</v>
      </c>
      <c r="G42" s="7" t="s">
        <v>227</v>
      </c>
      <c r="H42" s="8"/>
    </row>
    <row r="43" spans="1:8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269</v>
      </c>
      <c r="G43" s="7" t="s">
        <v>42</v>
      </c>
      <c r="H43" s="8" t="s">
        <v>270</v>
      </c>
    </row>
    <row r="44" spans="1:8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271</v>
      </c>
      <c r="G44" s="7" t="s">
        <v>42</v>
      </c>
      <c r="H44" s="8" t="s">
        <v>270</v>
      </c>
    </row>
    <row r="45" spans="1:8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3</v>
      </c>
      <c r="F45" s="8" t="s">
        <v>272</v>
      </c>
      <c r="G45" s="7" t="s">
        <v>220</v>
      </c>
      <c r="H45" s="8"/>
    </row>
    <row r="46" spans="1:8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3</v>
      </c>
      <c r="F46" s="8" t="s">
        <v>273</v>
      </c>
      <c r="G46" s="7" t="s">
        <v>233</v>
      </c>
      <c r="H46" s="8"/>
    </row>
    <row r="47" spans="1:8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2</v>
      </c>
      <c r="F47" s="8" t="s">
        <v>274</v>
      </c>
      <c r="G47" s="7" t="s">
        <v>275</v>
      </c>
      <c r="H47" s="8" t="s">
        <v>276</v>
      </c>
    </row>
    <row r="48" spans="1:8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3</v>
      </c>
      <c r="F48" s="8" t="s">
        <v>277</v>
      </c>
      <c r="G48" s="7" t="s">
        <v>231</v>
      </c>
      <c r="H48" s="8"/>
    </row>
    <row r="50" spans="1:5" ht="15.75" customHeight="1" x14ac:dyDescent="0.2">
      <c r="A50" s="11" t="s">
        <v>187</v>
      </c>
    </row>
    <row r="51" spans="1:5" ht="15.75" customHeight="1" x14ac:dyDescent="0.2">
      <c r="A51" s="12" t="s">
        <v>188</v>
      </c>
      <c r="B51" s="13">
        <f>IFERROR(AVERAGE(E4,E5,E6,E7,E8,E9,E10,E11,E12,E13,E14,E15,E16,E17,E18),"")</f>
        <v>2.8</v>
      </c>
    </row>
    <row r="52" spans="1:5" ht="15.75" customHeight="1" x14ac:dyDescent="0.2">
      <c r="A52" s="14" t="s">
        <v>189</v>
      </c>
      <c r="B52" s="13">
        <f>IFERROR(AVERAGE(E19,E20,E21,E22,E23,E24,E25,E26,E27,E28,E29,E30,E31,E32,E33),"")</f>
        <v>3.8</v>
      </c>
    </row>
    <row r="53" spans="1:5" ht="15.75" customHeight="1" x14ac:dyDescent="0.2">
      <c r="A53" s="15" t="s">
        <v>190</v>
      </c>
      <c r="B53" s="13">
        <f>IFERROR(AVERAGE(E34,E35,E36,E37,E38,E39,E40,E41,E42,E43,E44,E45,E46,E47,E48),"")</f>
        <v>2.5333333333333332</v>
      </c>
    </row>
    <row r="54" spans="1:5" ht="15.75" customHeight="1" x14ac:dyDescent="0.2">
      <c r="A54" s="16" t="s">
        <v>191</v>
      </c>
      <c r="B54" s="17">
        <f>IFERROR(B52-B51,"")</f>
        <v>1</v>
      </c>
    </row>
    <row r="56" spans="1:5" ht="15.75" customHeight="1" x14ac:dyDescent="0.2">
      <c r="A56" s="16" t="s">
        <v>192</v>
      </c>
    </row>
    <row r="57" spans="1:5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</row>
    <row r="58" spans="1:5" ht="64.5" customHeight="1" x14ac:dyDescent="0.2">
      <c r="A58" s="6" t="s">
        <v>197</v>
      </c>
      <c r="B58" s="18">
        <f>IFERROR(AVERAGE(E4,E5,E6),"")</f>
        <v>3.3333333333333335</v>
      </c>
      <c r="C58" s="18">
        <f>IFERROR(AVERAGE(E19,E20,E21),"")</f>
        <v>4</v>
      </c>
      <c r="D58" s="19">
        <f>IFERROR(C58-B58,"")</f>
        <v>0.66666666666666652</v>
      </c>
      <c r="E58" s="18">
        <f>IFERROR(AVERAGE(E34,E35,E36),"")</f>
        <v>3.3333333333333335</v>
      </c>
    </row>
    <row r="59" spans="1:5" ht="39" customHeight="1" x14ac:dyDescent="0.2">
      <c r="A59" s="6" t="s">
        <v>198</v>
      </c>
      <c r="B59" s="18">
        <f>IFERROR(AVERAGE(E7,E8,E9),"")</f>
        <v>3.3333333333333335</v>
      </c>
      <c r="C59" s="18">
        <f>IFERROR(AVERAGE(E22,E23,E24),"")</f>
        <v>3.3333333333333335</v>
      </c>
      <c r="D59" s="19">
        <f>IFERROR(C59-B59,"")</f>
        <v>0</v>
      </c>
      <c r="E59" s="18">
        <f>IFERROR(AVERAGE(E37,E38,E39),"")</f>
        <v>2.6666666666666665</v>
      </c>
    </row>
    <row r="60" spans="1:5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4</v>
      </c>
      <c r="D60" s="19">
        <f>IFERROR(C60-B60,"")</f>
        <v>1.3333333333333335</v>
      </c>
      <c r="E60" s="18">
        <f>IFERROR(AVERAGE(E46,E47,E48),"")</f>
        <v>2.6666666666666665</v>
      </c>
    </row>
    <row r="61" spans="1:5" ht="26" x14ac:dyDescent="0.2">
      <c r="A61" s="36" t="s">
        <v>44</v>
      </c>
      <c r="E61">
        <f>IFERROR(ROUND(AVERAGE(E40:E42),2),"")</f>
        <v>2.33</v>
      </c>
    </row>
    <row r="62" spans="1:5" ht="25.5" customHeight="1" x14ac:dyDescent="0.2">
      <c r="A62" s="36" t="s">
        <v>909</v>
      </c>
      <c r="E62">
        <f>IFERROR(ROUND(AVERAGE(E43:E45),2),"")</f>
        <v>1.67</v>
      </c>
    </row>
    <row r="63" spans="1:5" x14ac:dyDescent="0.2">
      <c r="A63" s="36"/>
    </row>
  </sheetData>
  <mergeCells count="2"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topLeftCell="A53" zoomScale="150" zoomScaleNormal="100" workbookViewId="0">
      <selection activeCell="A64" sqref="A64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</cols>
  <sheetData>
    <row r="1" spans="1:8" ht="19.5" customHeight="1" x14ac:dyDescent="0.2">
      <c r="A1" s="1" t="s">
        <v>0</v>
      </c>
      <c r="B1" s="83"/>
      <c r="C1" s="84"/>
      <c r="D1" s="84"/>
      <c r="E1" s="1" t="s">
        <v>1</v>
      </c>
      <c r="F1" s="83"/>
      <c r="G1" s="84"/>
      <c r="H1" s="2" t="s">
        <v>892</v>
      </c>
    </row>
    <row r="2" spans="1:8" ht="15.75" customHeight="1" x14ac:dyDescent="0.2">
      <c r="B2" t="s">
        <v>278</v>
      </c>
      <c r="F2" t="s">
        <v>202</v>
      </c>
    </row>
    <row r="3" spans="1:8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</row>
    <row r="4" spans="1:8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4</v>
      </c>
      <c r="F4" s="8" t="s">
        <v>279</v>
      </c>
      <c r="G4" s="7" t="s">
        <v>280</v>
      </c>
      <c r="H4" s="8"/>
    </row>
    <row r="5" spans="1:8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4</v>
      </c>
      <c r="F5" s="8" t="s">
        <v>281</v>
      </c>
      <c r="G5" s="7" t="s">
        <v>282</v>
      </c>
      <c r="H5" s="8"/>
    </row>
    <row r="6" spans="1:8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3</v>
      </c>
      <c r="F6" s="8" t="s">
        <v>283</v>
      </c>
      <c r="G6" s="7" t="s">
        <v>284</v>
      </c>
      <c r="H6" s="8"/>
    </row>
    <row r="7" spans="1:8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285</v>
      </c>
      <c r="G7" s="7" t="s">
        <v>286</v>
      </c>
      <c r="H7" s="8"/>
    </row>
    <row r="8" spans="1:8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4</v>
      </c>
      <c r="F8" s="8" t="s">
        <v>287</v>
      </c>
      <c r="G8" s="7" t="s">
        <v>288</v>
      </c>
      <c r="H8" s="8" t="s">
        <v>289</v>
      </c>
    </row>
    <row r="9" spans="1:8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3</v>
      </c>
      <c r="F9" s="8" t="s">
        <v>290</v>
      </c>
      <c r="G9" s="7" t="s">
        <v>291</v>
      </c>
      <c r="H9" s="8"/>
    </row>
    <row r="10" spans="1:8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3</v>
      </c>
      <c r="F10" s="8" t="s">
        <v>292</v>
      </c>
      <c r="G10" s="7" t="s">
        <v>291</v>
      </c>
      <c r="H10" s="8"/>
    </row>
    <row r="11" spans="1:8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3</v>
      </c>
      <c r="F11" s="8" t="s">
        <v>293</v>
      </c>
      <c r="G11" s="7" t="s">
        <v>291</v>
      </c>
      <c r="H11" s="8"/>
    </row>
    <row r="12" spans="1:8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2</v>
      </c>
      <c r="F12" s="8" t="s">
        <v>294</v>
      </c>
      <c r="G12" s="7" t="s">
        <v>295</v>
      </c>
      <c r="H12" s="8"/>
    </row>
    <row r="13" spans="1:8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3</v>
      </c>
      <c r="F13" s="8" t="s">
        <v>296</v>
      </c>
      <c r="G13" s="7" t="s">
        <v>297</v>
      </c>
      <c r="H13" s="8"/>
    </row>
    <row r="14" spans="1:8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2</v>
      </c>
      <c r="F14" s="8" t="s">
        <v>298</v>
      </c>
      <c r="G14" s="7" t="s">
        <v>299</v>
      </c>
      <c r="H14" s="8"/>
    </row>
    <row r="15" spans="1:8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3</v>
      </c>
      <c r="F15" s="8" t="s">
        <v>300</v>
      </c>
      <c r="G15" s="7" t="s">
        <v>301</v>
      </c>
      <c r="H15" s="8"/>
    </row>
    <row r="16" spans="1:8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302</v>
      </c>
      <c r="G16" s="7" t="s">
        <v>291</v>
      </c>
      <c r="H16" s="8"/>
    </row>
    <row r="17" spans="1:8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303</v>
      </c>
      <c r="G17" s="7" t="s">
        <v>291</v>
      </c>
      <c r="H17" s="8"/>
    </row>
    <row r="18" spans="1:8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304</v>
      </c>
      <c r="G18" s="7" t="s">
        <v>305</v>
      </c>
      <c r="H18" s="8"/>
    </row>
    <row r="19" spans="1:8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4</v>
      </c>
      <c r="F19" s="8" t="s">
        <v>306</v>
      </c>
      <c r="G19" s="7" t="s">
        <v>307</v>
      </c>
      <c r="H19" s="8"/>
    </row>
    <row r="20" spans="1:8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4</v>
      </c>
      <c r="F20" s="8" t="s">
        <v>308</v>
      </c>
      <c r="G20" s="7" t="s">
        <v>309</v>
      </c>
      <c r="H20" s="8"/>
    </row>
    <row r="21" spans="1:8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310</v>
      </c>
      <c r="G21" s="7" t="s">
        <v>311</v>
      </c>
      <c r="H21" s="8"/>
    </row>
    <row r="22" spans="1:8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4</v>
      </c>
      <c r="F22" s="8" t="s">
        <v>312</v>
      </c>
      <c r="G22" s="7" t="s">
        <v>313</v>
      </c>
      <c r="H22" s="8"/>
    </row>
    <row r="23" spans="1:8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2</v>
      </c>
      <c r="F23" s="8" t="s">
        <v>314</v>
      </c>
      <c r="G23" s="7" t="s">
        <v>307</v>
      </c>
      <c r="H23" s="8"/>
    </row>
    <row r="24" spans="1:8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4</v>
      </c>
      <c r="F24" s="8" t="s">
        <v>315</v>
      </c>
      <c r="G24" s="7" t="s">
        <v>316</v>
      </c>
      <c r="H24" s="8"/>
    </row>
    <row r="25" spans="1:8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3</v>
      </c>
      <c r="F25" s="8" t="s">
        <v>317</v>
      </c>
      <c r="G25" s="7" t="s">
        <v>318</v>
      </c>
      <c r="H25" s="8"/>
    </row>
    <row r="26" spans="1:8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4</v>
      </c>
      <c r="F26" s="8" t="s">
        <v>319</v>
      </c>
      <c r="G26" s="7" t="s">
        <v>307</v>
      </c>
      <c r="H26" s="8"/>
    </row>
    <row r="27" spans="1:8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320</v>
      </c>
      <c r="G27" s="7" t="s">
        <v>321</v>
      </c>
      <c r="H27" s="8"/>
    </row>
    <row r="28" spans="1:8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4</v>
      </c>
      <c r="F28" s="8" t="s">
        <v>322</v>
      </c>
      <c r="G28" s="7" t="s">
        <v>318</v>
      </c>
      <c r="H28" s="8" t="s">
        <v>323</v>
      </c>
    </row>
    <row r="29" spans="1:8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4</v>
      </c>
      <c r="F29" s="8" t="s">
        <v>324</v>
      </c>
      <c r="G29" s="7" t="s">
        <v>318</v>
      </c>
      <c r="H29" s="8"/>
    </row>
    <row r="30" spans="1:8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4</v>
      </c>
      <c r="F30" s="8" t="s">
        <v>325</v>
      </c>
      <c r="G30" s="7" t="s">
        <v>309</v>
      </c>
      <c r="H30" s="8"/>
    </row>
    <row r="31" spans="1:8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4</v>
      </c>
      <c r="F31" s="8" t="s">
        <v>326</v>
      </c>
      <c r="G31" s="7" t="s">
        <v>309</v>
      </c>
      <c r="H31" s="8"/>
    </row>
    <row r="32" spans="1:8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3</v>
      </c>
      <c r="F32" s="8" t="s">
        <v>327</v>
      </c>
      <c r="G32" s="7" t="s">
        <v>309</v>
      </c>
      <c r="H32" s="8"/>
    </row>
    <row r="33" spans="1:8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4</v>
      </c>
      <c r="F33" s="8" t="s">
        <v>328</v>
      </c>
      <c r="G33" s="7" t="s">
        <v>329</v>
      </c>
      <c r="H33" s="8"/>
    </row>
    <row r="34" spans="1:8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3</v>
      </c>
      <c r="F34" s="8" t="s">
        <v>330</v>
      </c>
      <c r="G34" s="7" t="s">
        <v>331</v>
      </c>
      <c r="H34" s="8"/>
    </row>
    <row r="35" spans="1:8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332</v>
      </c>
      <c r="G35" s="7" t="s">
        <v>331</v>
      </c>
      <c r="H35" s="8"/>
    </row>
    <row r="36" spans="1:8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4</v>
      </c>
      <c r="F36" s="8" t="s">
        <v>333</v>
      </c>
      <c r="G36" s="7" t="s">
        <v>334</v>
      </c>
      <c r="H36" s="8" t="s">
        <v>335</v>
      </c>
    </row>
    <row r="37" spans="1:8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336</v>
      </c>
      <c r="G37" s="7" t="s">
        <v>337</v>
      </c>
      <c r="H37" s="8"/>
    </row>
    <row r="38" spans="1:8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2</v>
      </c>
      <c r="F38" s="8" t="s">
        <v>338</v>
      </c>
      <c r="G38" s="7" t="s">
        <v>291</v>
      </c>
      <c r="H38" s="8"/>
    </row>
    <row r="39" spans="1:8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3</v>
      </c>
      <c r="F39" s="8" t="s">
        <v>339</v>
      </c>
      <c r="G39" s="7" t="s">
        <v>288</v>
      </c>
      <c r="H39" s="8"/>
    </row>
    <row r="40" spans="1:8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2</v>
      </c>
      <c r="F40" s="8" t="s">
        <v>340</v>
      </c>
      <c r="G40" s="7" t="s">
        <v>291</v>
      </c>
      <c r="H40" s="8"/>
    </row>
    <row r="41" spans="1:8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3</v>
      </c>
      <c r="F41" s="8" t="s">
        <v>341</v>
      </c>
      <c r="G41" s="7" t="s">
        <v>342</v>
      </c>
      <c r="H41" s="8"/>
    </row>
    <row r="42" spans="1:8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3</v>
      </c>
      <c r="F42" s="8" t="s">
        <v>343</v>
      </c>
      <c r="G42" s="7" t="s">
        <v>291</v>
      </c>
      <c r="H42" s="8"/>
    </row>
    <row r="43" spans="1:8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2</v>
      </c>
      <c r="F43" s="8" t="s">
        <v>344</v>
      </c>
      <c r="G43" s="7" t="s">
        <v>309</v>
      </c>
      <c r="H43" s="8"/>
    </row>
    <row r="44" spans="1:8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345</v>
      </c>
      <c r="G44" s="7" t="s">
        <v>346</v>
      </c>
      <c r="H44" s="8"/>
    </row>
    <row r="45" spans="1:8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3</v>
      </c>
      <c r="F45" s="8" t="s">
        <v>347</v>
      </c>
      <c r="G45" s="7" t="s">
        <v>348</v>
      </c>
      <c r="H45" s="8"/>
    </row>
    <row r="46" spans="1:8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3</v>
      </c>
      <c r="F46" s="8" t="s">
        <v>349</v>
      </c>
      <c r="G46" s="7" t="s">
        <v>305</v>
      </c>
      <c r="H46" s="8"/>
    </row>
    <row r="47" spans="1:8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3</v>
      </c>
      <c r="F47" s="8" t="s">
        <v>350</v>
      </c>
      <c r="G47" s="7" t="s">
        <v>351</v>
      </c>
      <c r="H47" s="8" t="s">
        <v>352</v>
      </c>
    </row>
    <row r="48" spans="1:8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3</v>
      </c>
      <c r="F48" s="8" t="s">
        <v>353</v>
      </c>
      <c r="G48" s="7" t="s">
        <v>354</v>
      </c>
      <c r="H48" s="8"/>
    </row>
    <row r="49" spans="1:8" ht="15.75" customHeight="1" x14ac:dyDescent="0.2"/>
    <row r="50" spans="1:8" ht="15.75" customHeight="1" x14ac:dyDescent="0.2">
      <c r="A50" s="11" t="s">
        <v>187</v>
      </c>
    </row>
    <row r="51" spans="1:8" ht="15.75" customHeight="1" x14ac:dyDescent="0.2">
      <c r="A51" s="12" t="s">
        <v>188</v>
      </c>
      <c r="B51" s="13">
        <f>IFERROR(AVERAGE(E4,E5,E6,E7,E8,E9,E10,E11,E12,E13,E14,E15,E16,E17,E18),"")</f>
        <v>3</v>
      </c>
    </row>
    <row r="52" spans="1:8" ht="15.75" customHeight="1" x14ac:dyDescent="0.2">
      <c r="A52" s="14" t="s">
        <v>189</v>
      </c>
      <c r="B52" s="13">
        <f>IFERROR(AVERAGE(E19,E20,E21,E22,E23,E24,E25,E26,E27,E28,E29,E30,E31,E32,E33),"")</f>
        <v>3.7333333333333334</v>
      </c>
    </row>
    <row r="53" spans="1:8" ht="15.75" customHeight="1" x14ac:dyDescent="0.2">
      <c r="A53" s="15" t="s">
        <v>190</v>
      </c>
      <c r="B53" s="13">
        <f>IFERROR(AVERAGE(E34,E35,E36,E37,E38,E39,E40,E41,E42,E43,E44,E45,E46,E47,E48),"")</f>
        <v>2.6666666666666665</v>
      </c>
    </row>
    <row r="54" spans="1:8" ht="15.75" customHeight="1" x14ac:dyDescent="0.2">
      <c r="A54" s="16" t="s">
        <v>191</v>
      </c>
      <c r="B54" s="17">
        <f>IFERROR(B52-B51,"")</f>
        <v>0.73333333333333339</v>
      </c>
    </row>
    <row r="56" spans="1:8" ht="15.75" customHeight="1" x14ac:dyDescent="0.2">
      <c r="A56" s="16" t="s">
        <v>192</v>
      </c>
    </row>
    <row r="57" spans="1:8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</row>
    <row r="58" spans="1:8" ht="64.5" customHeight="1" x14ac:dyDescent="0.2">
      <c r="A58" s="6" t="s">
        <v>197</v>
      </c>
      <c r="B58" s="18">
        <f>IFERROR(AVERAGE(E4,E5,E6),"")</f>
        <v>3.6666666666666665</v>
      </c>
      <c r="C58" s="18">
        <f>IFERROR(AVERAGE(E19,E20,E21),"")</f>
        <v>4</v>
      </c>
      <c r="D58" s="19">
        <f>IFERROR(C58-B58,"")</f>
        <v>0.33333333333333348</v>
      </c>
      <c r="E58" s="18">
        <f>IFERROR(AVERAGE(E34,E35,E36),"")</f>
        <v>3</v>
      </c>
    </row>
    <row r="59" spans="1:8" ht="39" customHeight="1" x14ac:dyDescent="0.2">
      <c r="A59" s="6" t="s">
        <v>198</v>
      </c>
      <c r="B59" s="18">
        <f>IFERROR(AVERAGE(E7,E8,E9),"")</f>
        <v>3.3333333333333335</v>
      </c>
      <c r="C59" s="18">
        <f>IFERROR(AVERAGE(E22,E23,E24),"")</f>
        <v>3.3333333333333335</v>
      </c>
      <c r="D59" s="19">
        <f>IFERROR(C59-B59,"")</f>
        <v>0</v>
      </c>
      <c r="E59" s="18">
        <f>IFERROR(AVERAGE(E37,E38,E39),"")</f>
        <v>2.6666666666666665</v>
      </c>
    </row>
    <row r="60" spans="1:8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3.6666666666666665</v>
      </c>
      <c r="D60" s="19">
        <f>IFERROR(C60-B60,"")</f>
        <v>1</v>
      </c>
      <c r="E60" s="18">
        <f>IFERROR(AVERAGE(E46,E47,E48),"")</f>
        <v>3</v>
      </c>
    </row>
    <row r="62" spans="1:8" ht="25.5" customHeight="1" x14ac:dyDescent="0.2">
      <c r="A62" s="85"/>
      <c r="B62" s="86"/>
      <c r="C62" s="86"/>
      <c r="D62" s="86"/>
      <c r="E62" s="86"/>
      <c r="F62" s="86"/>
      <c r="G62" s="86"/>
      <c r="H62" s="86"/>
    </row>
    <row r="63" spans="1:8" ht="26" x14ac:dyDescent="0.2">
      <c r="A63" s="36" t="s">
        <v>44</v>
      </c>
      <c r="E63">
        <f>IFERROR(ROUND(AVERAGE(E40:E42),2),"")</f>
        <v>2.67</v>
      </c>
    </row>
    <row r="64" spans="1:8" ht="26" x14ac:dyDescent="0.2">
      <c r="A64" s="36" t="s">
        <v>909</v>
      </c>
      <c r="E64">
        <f>IFERROR(ROUND(AVERAGE(E43:E45),2),"")</f>
        <v>2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"/>
  <sheetViews>
    <sheetView topLeftCell="A43" zoomScaleNormal="100" workbookViewId="0">
      <selection activeCell="B69" sqref="B69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</cols>
  <sheetData>
    <row r="1" spans="1:8" ht="19.5" customHeight="1" x14ac:dyDescent="0.2">
      <c r="A1" s="1" t="s">
        <v>0</v>
      </c>
      <c r="B1" s="83"/>
      <c r="C1" s="84"/>
      <c r="D1" s="84"/>
      <c r="E1" s="1" t="s">
        <v>1</v>
      </c>
      <c r="F1" s="83"/>
      <c r="G1" s="84"/>
      <c r="H1" s="2" t="s">
        <v>892</v>
      </c>
    </row>
    <row r="2" spans="1:8" ht="15.75" customHeight="1" x14ac:dyDescent="0.2">
      <c r="B2" t="s">
        <v>355</v>
      </c>
      <c r="F2" t="s">
        <v>202</v>
      </c>
    </row>
    <row r="3" spans="1:8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</row>
    <row r="4" spans="1:8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4</v>
      </c>
      <c r="F4" s="8" t="s">
        <v>356</v>
      </c>
      <c r="G4" s="7" t="s">
        <v>357</v>
      </c>
      <c r="H4" s="8"/>
    </row>
    <row r="5" spans="1:8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4</v>
      </c>
      <c r="F5" s="8" t="s">
        <v>358</v>
      </c>
      <c r="G5" s="7" t="s">
        <v>359</v>
      </c>
      <c r="H5" s="8" t="s">
        <v>360</v>
      </c>
    </row>
    <row r="6" spans="1:8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3</v>
      </c>
      <c r="F6" s="8" t="s">
        <v>361</v>
      </c>
      <c r="G6" s="7" t="s">
        <v>362</v>
      </c>
      <c r="H6" s="8"/>
    </row>
    <row r="7" spans="1:8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363</v>
      </c>
      <c r="G7" s="7" t="s">
        <v>364</v>
      </c>
      <c r="H7" s="8"/>
    </row>
    <row r="8" spans="1:8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4</v>
      </c>
      <c r="F8" s="8" t="s">
        <v>365</v>
      </c>
      <c r="G8" s="7" t="s">
        <v>366</v>
      </c>
      <c r="H8" s="8" t="s">
        <v>367</v>
      </c>
    </row>
    <row r="9" spans="1:8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3</v>
      </c>
      <c r="F9" s="8" t="s">
        <v>368</v>
      </c>
      <c r="G9" s="7" t="s">
        <v>369</v>
      </c>
      <c r="H9" s="8"/>
    </row>
    <row r="10" spans="1:8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3</v>
      </c>
      <c r="F10" s="8" t="s">
        <v>370</v>
      </c>
      <c r="G10" s="7" t="s">
        <v>371</v>
      </c>
      <c r="H10" s="8"/>
    </row>
    <row r="11" spans="1:8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3</v>
      </c>
      <c r="F11" s="8" t="s">
        <v>372</v>
      </c>
      <c r="G11" s="7" t="s">
        <v>373</v>
      </c>
      <c r="H11" s="8"/>
    </row>
    <row r="12" spans="1:8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3</v>
      </c>
      <c r="F12" s="8" t="s">
        <v>374</v>
      </c>
      <c r="G12" s="7" t="s">
        <v>375</v>
      </c>
      <c r="H12" s="8"/>
    </row>
    <row r="13" spans="1:8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3</v>
      </c>
      <c r="F13" s="8" t="s">
        <v>376</v>
      </c>
      <c r="G13" s="7" t="s">
        <v>377</v>
      </c>
      <c r="H13" s="8"/>
    </row>
    <row r="14" spans="1:8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2</v>
      </c>
      <c r="F14" s="8" t="s">
        <v>378</v>
      </c>
      <c r="G14" s="7" t="s">
        <v>377</v>
      </c>
      <c r="H14" s="8"/>
    </row>
    <row r="15" spans="1:8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379</v>
      </c>
      <c r="G15" s="7" t="s">
        <v>380</v>
      </c>
      <c r="H15" s="8"/>
    </row>
    <row r="16" spans="1:8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381</v>
      </c>
      <c r="G16" s="7" t="s">
        <v>382</v>
      </c>
      <c r="H16" s="8"/>
    </row>
    <row r="17" spans="1:8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383</v>
      </c>
      <c r="G17" s="7" t="s">
        <v>384</v>
      </c>
      <c r="H17" s="8"/>
    </row>
    <row r="18" spans="1:8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385</v>
      </c>
      <c r="G18" s="7" t="s">
        <v>386</v>
      </c>
      <c r="H18" s="8"/>
    </row>
    <row r="19" spans="1:8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4</v>
      </c>
      <c r="F19" s="8" t="s">
        <v>387</v>
      </c>
      <c r="G19" s="7" t="s">
        <v>388</v>
      </c>
      <c r="H19" s="8" t="s">
        <v>389</v>
      </c>
    </row>
    <row r="20" spans="1:8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3</v>
      </c>
      <c r="F20" s="8" t="s">
        <v>390</v>
      </c>
      <c r="G20" s="7" t="s">
        <v>391</v>
      </c>
      <c r="H20" s="8"/>
    </row>
    <row r="21" spans="1:8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392</v>
      </c>
      <c r="G21" s="7" t="s">
        <v>393</v>
      </c>
      <c r="H21" s="8"/>
    </row>
    <row r="22" spans="1:8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3</v>
      </c>
      <c r="F22" s="8" t="s">
        <v>394</v>
      </c>
      <c r="G22" s="7" t="s">
        <v>395</v>
      </c>
      <c r="H22" s="8"/>
    </row>
    <row r="23" spans="1:8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2</v>
      </c>
      <c r="F23" s="8" t="s">
        <v>396</v>
      </c>
      <c r="G23" s="7" t="s">
        <v>42</v>
      </c>
      <c r="H23" s="8"/>
    </row>
    <row r="24" spans="1:8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397</v>
      </c>
      <c r="G24" s="7" t="s">
        <v>398</v>
      </c>
      <c r="H24" s="8"/>
    </row>
    <row r="25" spans="1:8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3</v>
      </c>
      <c r="F25" s="8" t="s">
        <v>399</v>
      </c>
      <c r="G25" s="7" t="s">
        <v>391</v>
      </c>
      <c r="H25" s="8"/>
    </row>
    <row r="26" spans="1:8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3</v>
      </c>
      <c r="F26" s="8" t="s">
        <v>400</v>
      </c>
      <c r="G26" s="7" t="s">
        <v>388</v>
      </c>
      <c r="H26" s="8"/>
    </row>
    <row r="27" spans="1:8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401</v>
      </c>
      <c r="G27" s="7" t="s">
        <v>402</v>
      </c>
      <c r="H27" s="8"/>
    </row>
    <row r="28" spans="1:8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2</v>
      </c>
      <c r="F28" s="8" t="s">
        <v>403</v>
      </c>
      <c r="G28" s="7" t="s">
        <v>404</v>
      </c>
      <c r="H28" s="8"/>
    </row>
    <row r="29" spans="1:8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3</v>
      </c>
      <c r="F29" s="8" t="s">
        <v>405</v>
      </c>
      <c r="G29" s="7" t="s">
        <v>375</v>
      </c>
      <c r="H29" s="8"/>
    </row>
    <row r="30" spans="1:8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2</v>
      </c>
      <c r="F30" s="8" t="s">
        <v>406</v>
      </c>
      <c r="G30" s="7" t="s">
        <v>391</v>
      </c>
      <c r="H30" s="8" t="s">
        <v>407</v>
      </c>
    </row>
    <row r="31" spans="1:8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408</v>
      </c>
      <c r="G31" s="7" t="s">
        <v>404</v>
      </c>
      <c r="H31" s="8"/>
    </row>
    <row r="32" spans="1:8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2</v>
      </c>
      <c r="F32" s="8" t="s">
        <v>409</v>
      </c>
      <c r="G32" s="7" t="s">
        <v>410</v>
      </c>
      <c r="H32" s="8"/>
    </row>
    <row r="33" spans="1:8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3</v>
      </c>
      <c r="F33" s="8" t="s">
        <v>411</v>
      </c>
      <c r="G33" s="7" t="s">
        <v>412</v>
      </c>
      <c r="H33" s="8"/>
    </row>
    <row r="34" spans="1:8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2</v>
      </c>
      <c r="F34" s="8" t="s">
        <v>413</v>
      </c>
      <c r="G34" s="7" t="s">
        <v>414</v>
      </c>
      <c r="H34" s="8"/>
    </row>
    <row r="35" spans="1:8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415</v>
      </c>
      <c r="G35" s="7" t="s">
        <v>414</v>
      </c>
      <c r="H35" s="8"/>
    </row>
    <row r="36" spans="1:8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3</v>
      </c>
      <c r="F36" s="8" t="s">
        <v>416</v>
      </c>
      <c r="G36" s="7" t="s">
        <v>362</v>
      </c>
      <c r="H36" s="8"/>
    </row>
    <row r="37" spans="1:8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417</v>
      </c>
      <c r="G37" s="7" t="s">
        <v>362</v>
      </c>
      <c r="H37" s="8" t="s">
        <v>418</v>
      </c>
    </row>
    <row r="38" spans="1:8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3</v>
      </c>
      <c r="F38" s="8" t="s">
        <v>419</v>
      </c>
      <c r="G38" s="7" t="s">
        <v>362</v>
      </c>
      <c r="H38" s="8"/>
    </row>
    <row r="39" spans="1:8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3</v>
      </c>
      <c r="F39" s="8" t="s">
        <v>420</v>
      </c>
      <c r="G39" s="7" t="s">
        <v>362</v>
      </c>
      <c r="H39" s="8"/>
    </row>
    <row r="40" spans="1:8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2</v>
      </c>
      <c r="F40" s="8" t="s">
        <v>421</v>
      </c>
      <c r="G40" s="7" t="s">
        <v>42</v>
      </c>
      <c r="H40" s="8"/>
    </row>
    <row r="41" spans="1:8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2</v>
      </c>
      <c r="F41" s="8" t="s">
        <v>422</v>
      </c>
      <c r="G41" s="7" t="s">
        <v>362</v>
      </c>
      <c r="H41" s="8"/>
    </row>
    <row r="42" spans="1:8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3</v>
      </c>
      <c r="F42" s="8" t="s">
        <v>423</v>
      </c>
      <c r="G42" s="7" t="s">
        <v>410</v>
      </c>
      <c r="H42" s="8"/>
    </row>
    <row r="43" spans="1:8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269</v>
      </c>
      <c r="G43" s="7" t="s">
        <v>42</v>
      </c>
      <c r="H43" s="8"/>
    </row>
    <row r="44" spans="1:8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424</v>
      </c>
      <c r="G44" s="7" t="s">
        <v>42</v>
      </c>
      <c r="H44" s="8"/>
    </row>
    <row r="45" spans="1:8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2</v>
      </c>
      <c r="F45" s="8" t="s">
        <v>425</v>
      </c>
      <c r="G45" s="7" t="s">
        <v>398</v>
      </c>
      <c r="H45" s="8"/>
    </row>
    <row r="46" spans="1:8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3</v>
      </c>
      <c r="F46" s="8" t="s">
        <v>426</v>
      </c>
      <c r="G46" s="7" t="s">
        <v>427</v>
      </c>
      <c r="H46" s="8"/>
    </row>
    <row r="47" spans="1:8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2</v>
      </c>
      <c r="F47" s="8" t="s">
        <v>428</v>
      </c>
      <c r="G47" s="7" t="s">
        <v>429</v>
      </c>
      <c r="H47" s="8"/>
    </row>
    <row r="48" spans="1:8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2</v>
      </c>
      <c r="F48" s="8" t="s">
        <v>430</v>
      </c>
      <c r="G48" s="7" t="s">
        <v>362</v>
      </c>
      <c r="H48" s="8"/>
    </row>
    <row r="49" spans="1:8" ht="15.75" customHeight="1" x14ac:dyDescent="0.2"/>
    <row r="50" spans="1:8" ht="15.75" customHeight="1" x14ac:dyDescent="0.2">
      <c r="A50" s="11" t="s">
        <v>187</v>
      </c>
    </row>
    <row r="51" spans="1:8" ht="15.75" customHeight="1" x14ac:dyDescent="0.2">
      <c r="A51" s="12" t="s">
        <v>188</v>
      </c>
      <c r="B51" s="13">
        <f>IFERROR(AVERAGE(E4,E5,E6,E7,E8,E9,E10,E11,E12,E13,E14,E15,E16,E17,E18),"")</f>
        <v>3</v>
      </c>
    </row>
    <row r="52" spans="1:8" ht="15.75" customHeight="1" x14ac:dyDescent="0.2">
      <c r="A52" s="14" t="s">
        <v>189</v>
      </c>
      <c r="B52" s="13">
        <f>IFERROR(AVERAGE(E19,E20,E21,E22,E23,E24,E25,E26,E27,E28,E29,E30,E31,E32,E33),"")</f>
        <v>2.9333333333333331</v>
      </c>
    </row>
    <row r="53" spans="1:8" ht="15.75" customHeight="1" x14ac:dyDescent="0.2">
      <c r="A53" s="15" t="s">
        <v>190</v>
      </c>
      <c r="B53" s="13">
        <f>IFERROR(AVERAGE(E34,E35,E36,E37,E38,E39,E40,E41,E42,E43,E44,E45,E46,E47,E48),"")</f>
        <v>2.2666666666666666</v>
      </c>
    </row>
    <row r="54" spans="1:8" ht="15.75" customHeight="1" x14ac:dyDescent="0.2">
      <c r="A54" s="16" t="s">
        <v>191</v>
      </c>
      <c r="B54" s="17">
        <f>IFERROR(B52-B51,"")</f>
        <v>-6.6666666666666874E-2</v>
      </c>
    </row>
    <row r="56" spans="1:8" ht="15.75" customHeight="1" x14ac:dyDescent="0.2">
      <c r="A56" s="16" t="s">
        <v>192</v>
      </c>
    </row>
    <row r="57" spans="1:8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</row>
    <row r="58" spans="1:8" ht="64.5" customHeight="1" x14ac:dyDescent="0.2">
      <c r="A58" s="6" t="s">
        <v>197</v>
      </c>
      <c r="B58" s="18">
        <f>IFERROR(AVERAGE(E4,E5,E6),"")</f>
        <v>3.6666666666666665</v>
      </c>
      <c r="C58" s="18">
        <f>IFERROR(AVERAGE(E19,E20,E21),"")</f>
        <v>3.6666666666666665</v>
      </c>
      <c r="D58" s="19">
        <f>IFERROR(C58-B58,"")</f>
        <v>0</v>
      </c>
      <c r="E58" s="18">
        <f>IFERROR(AVERAGE(E34,E35,E36),"")</f>
        <v>2.3333333333333335</v>
      </c>
    </row>
    <row r="59" spans="1:8" ht="39" customHeight="1" x14ac:dyDescent="0.2">
      <c r="A59" s="6" t="s">
        <v>198</v>
      </c>
      <c r="B59" s="18">
        <f>IFERROR(AVERAGE(E7,E8,E9),"")</f>
        <v>3.3333333333333335</v>
      </c>
      <c r="C59" s="18">
        <f>IFERROR(AVERAGE(E22,E23,E24),"")</f>
        <v>2.6666666666666665</v>
      </c>
      <c r="D59" s="19">
        <f>IFERROR(C59-B59,"")</f>
        <v>-0.66666666666666696</v>
      </c>
      <c r="E59" s="18">
        <f>IFERROR(AVERAGE(E37,E38,E39),"")</f>
        <v>3</v>
      </c>
    </row>
    <row r="60" spans="1:8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2.6666666666666665</v>
      </c>
      <c r="D60" s="19">
        <f>IFERROR(C60-B60,"")</f>
        <v>0</v>
      </c>
      <c r="E60" s="18">
        <f>IFERROR(AVERAGE(E46,E47,E48),"")</f>
        <v>2.3333333333333335</v>
      </c>
    </row>
    <row r="62" spans="1:8" ht="25.5" customHeight="1" x14ac:dyDescent="0.2">
      <c r="A62" s="85"/>
      <c r="B62" s="86"/>
      <c r="C62" s="86"/>
      <c r="D62" s="86"/>
      <c r="E62" s="86"/>
      <c r="F62" s="86"/>
      <c r="G62" s="86"/>
      <c r="H62" s="86"/>
    </row>
    <row r="63" spans="1:8" ht="26" x14ac:dyDescent="0.2">
      <c r="A63" s="36" t="s">
        <v>922</v>
      </c>
      <c r="E63">
        <f>IFERROR(ROUND(AVERAGE(E40:E42),2),"")</f>
        <v>2.33</v>
      </c>
    </row>
    <row r="64" spans="1:8" ht="26" x14ac:dyDescent="0.2">
      <c r="A64" s="36" t="s">
        <v>909</v>
      </c>
      <c r="E64">
        <f>IFERROR(ROUND(AVERAGE(E43:E45),2),"")</f>
        <v>1.33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"/>
  <sheetViews>
    <sheetView topLeftCell="A43" zoomScaleNormal="100" workbookViewId="0">
      <selection activeCell="B67" sqref="B67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</cols>
  <sheetData>
    <row r="1" spans="1:8" ht="19.5" customHeight="1" x14ac:dyDescent="0.2">
      <c r="A1" s="1" t="s">
        <v>0</v>
      </c>
      <c r="B1" s="83"/>
      <c r="C1" s="84"/>
      <c r="D1" s="84"/>
      <c r="E1" s="1" t="s">
        <v>1</v>
      </c>
      <c r="F1" s="83"/>
      <c r="G1" s="84"/>
      <c r="H1" s="2" t="s">
        <v>892</v>
      </c>
    </row>
    <row r="2" spans="1:8" ht="15.75" customHeight="1" x14ac:dyDescent="0.2">
      <c r="B2" t="s">
        <v>431</v>
      </c>
      <c r="F2" t="s">
        <v>432</v>
      </c>
    </row>
    <row r="3" spans="1:8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</row>
    <row r="4" spans="1:8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2</v>
      </c>
      <c r="F4" s="8" t="s">
        <v>433</v>
      </c>
      <c r="G4" s="7" t="s">
        <v>434</v>
      </c>
      <c r="H4" s="8" t="s">
        <v>435</v>
      </c>
    </row>
    <row r="5" spans="1:8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2</v>
      </c>
      <c r="F5" s="8" t="s">
        <v>436</v>
      </c>
      <c r="G5" s="7" t="s">
        <v>437</v>
      </c>
      <c r="H5" s="8"/>
    </row>
    <row r="6" spans="1:8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2</v>
      </c>
      <c r="F6" s="8" t="s">
        <v>438</v>
      </c>
      <c r="G6" s="7" t="s">
        <v>439</v>
      </c>
      <c r="H6" s="8"/>
    </row>
    <row r="7" spans="1:8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2</v>
      </c>
      <c r="F7" s="8" t="s">
        <v>440</v>
      </c>
      <c r="G7" s="7" t="s">
        <v>42</v>
      </c>
      <c r="H7" s="8"/>
    </row>
    <row r="8" spans="1:8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2</v>
      </c>
      <c r="F8" s="8" t="s">
        <v>441</v>
      </c>
      <c r="G8" s="7" t="s">
        <v>442</v>
      </c>
      <c r="H8" s="8"/>
    </row>
    <row r="9" spans="1:8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2</v>
      </c>
      <c r="F9" s="8" t="s">
        <v>443</v>
      </c>
      <c r="G9" s="7" t="s">
        <v>442</v>
      </c>
      <c r="H9" s="8"/>
    </row>
    <row r="10" spans="1:8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2</v>
      </c>
      <c r="F10" s="8" t="s">
        <v>444</v>
      </c>
      <c r="G10" s="7" t="s">
        <v>380</v>
      </c>
      <c r="H10" s="8"/>
    </row>
    <row r="11" spans="1:8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2</v>
      </c>
      <c r="F11" s="8" t="s">
        <v>445</v>
      </c>
      <c r="G11" s="7" t="s">
        <v>369</v>
      </c>
      <c r="H11" s="8"/>
    </row>
    <row r="12" spans="1:8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2</v>
      </c>
      <c r="F12" s="8" t="s">
        <v>446</v>
      </c>
      <c r="G12" s="7" t="s">
        <v>447</v>
      </c>
      <c r="H12" s="8"/>
    </row>
    <row r="13" spans="1:8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1</v>
      </c>
      <c r="F13" s="8" t="s">
        <v>448</v>
      </c>
      <c r="G13" s="7" t="s">
        <v>42</v>
      </c>
      <c r="H13" s="8"/>
    </row>
    <row r="14" spans="1:8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1</v>
      </c>
      <c r="F14" s="8" t="s">
        <v>449</v>
      </c>
      <c r="G14" s="7" t="s">
        <v>42</v>
      </c>
      <c r="H14" s="8"/>
    </row>
    <row r="15" spans="1:8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450</v>
      </c>
      <c r="G15" s="7" t="s">
        <v>451</v>
      </c>
      <c r="H15" s="8"/>
    </row>
    <row r="16" spans="1:8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2</v>
      </c>
      <c r="F16" s="8" t="s">
        <v>452</v>
      </c>
      <c r="G16" s="7" t="s">
        <v>42</v>
      </c>
      <c r="H16" s="8"/>
    </row>
    <row r="17" spans="1:8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1</v>
      </c>
      <c r="F17" s="8" t="s">
        <v>453</v>
      </c>
      <c r="G17" s="7" t="s">
        <v>42</v>
      </c>
      <c r="H17" s="8"/>
    </row>
    <row r="18" spans="1:8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2</v>
      </c>
      <c r="F18" s="8" t="s">
        <v>454</v>
      </c>
      <c r="G18" s="7" t="s">
        <v>455</v>
      </c>
      <c r="H18" s="8"/>
    </row>
    <row r="19" spans="1:8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3</v>
      </c>
      <c r="F19" s="8" t="s">
        <v>456</v>
      </c>
      <c r="G19" s="7" t="s">
        <v>457</v>
      </c>
      <c r="H19" s="8"/>
    </row>
    <row r="20" spans="1:8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3</v>
      </c>
      <c r="F20" s="8" t="s">
        <v>458</v>
      </c>
      <c r="G20" s="7" t="s">
        <v>459</v>
      </c>
      <c r="H20" s="8"/>
    </row>
    <row r="21" spans="1:8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3</v>
      </c>
      <c r="F21" s="8" t="s">
        <v>460</v>
      </c>
      <c r="G21" s="7" t="s">
        <v>461</v>
      </c>
      <c r="H21" s="8"/>
    </row>
    <row r="22" spans="1:8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3</v>
      </c>
      <c r="F22" s="8" t="s">
        <v>462</v>
      </c>
      <c r="G22" s="7" t="s">
        <v>457</v>
      </c>
      <c r="H22" s="8"/>
    </row>
    <row r="23" spans="1:8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1</v>
      </c>
      <c r="F23" s="8" t="s">
        <v>463</v>
      </c>
      <c r="G23" s="7" t="s">
        <v>42</v>
      </c>
      <c r="H23" s="8"/>
    </row>
    <row r="24" spans="1:8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464</v>
      </c>
      <c r="G24" s="7" t="s">
        <v>465</v>
      </c>
      <c r="H24" s="8"/>
    </row>
    <row r="25" spans="1:8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1</v>
      </c>
      <c r="F25" s="8" t="s">
        <v>466</v>
      </c>
      <c r="G25" s="7" t="s">
        <v>42</v>
      </c>
      <c r="H25" s="8"/>
    </row>
    <row r="26" spans="1:8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2</v>
      </c>
      <c r="F26" s="8" t="s">
        <v>467</v>
      </c>
      <c r="G26" s="7" t="s">
        <v>369</v>
      </c>
      <c r="H26" s="8"/>
    </row>
    <row r="27" spans="1:8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3</v>
      </c>
      <c r="F27" s="8" t="s">
        <v>468</v>
      </c>
      <c r="G27" s="7" t="s">
        <v>469</v>
      </c>
      <c r="H27" s="8"/>
    </row>
    <row r="28" spans="1:8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2</v>
      </c>
      <c r="F28" s="8" t="s">
        <v>470</v>
      </c>
      <c r="G28" s="7" t="s">
        <v>439</v>
      </c>
      <c r="H28" s="8"/>
    </row>
    <row r="29" spans="1:8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2</v>
      </c>
      <c r="F29" s="8" t="s">
        <v>471</v>
      </c>
      <c r="G29" s="7" t="s">
        <v>472</v>
      </c>
      <c r="H29" s="8"/>
    </row>
    <row r="30" spans="1:8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1</v>
      </c>
      <c r="F30" s="8" t="s">
        <v>473</v>
      </c>
      <c r="G30" s="7" t="s">
        <v>42</v>
      </c>
      <c r="H30" s="8"/>
    </row>
    <row r="31" spans="1:8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474</v>
      </c>
      <c r="G31" s="7" t="s">
        <v>451</v>
      </c>
      <c r="H31" s="8"/>
    </row>
    <row r="32" spans="1:8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2</v>
      </c>
      <c r="F32" s="8" t="s">
        <v>475</v>
      </c>
      <c r="G32" s="7" t="s">
        <v>42</v>
      </c>
      <c r="H32" s="8"/>
    </row>
    <row r="33" spans="1:8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3</v>
      </c>
      <c r="F33" s="8" t="s">
        <v>476</v>
      </c>
      <c r="G33" s="7" t="s">
        <v>455</v>
      </c>
      <c r="H33" s="8"/>
    </row>
    <row r="34" spans="1:8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1</v>
      </c>
      <c r="F34" s="8" t="s">
        <v>477</v>
      </c>
      <c r="G34" s="7" t="s">
        <v>42</v>
      </c>
      <c r="H34" s="8"/>
    </row>
    <row r="35" spans="1:8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1</v>
      </c>
      <c r="F35" s="8" t="s">
        <v>478</v>
      </c>
      <c r="G35" s="7" t="s">
        <v>42</v>
      </c>
      <c r="H35" s="8"/>
    </row>
    <row r="36" spans="1:8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1</v>
      </c>
      <c r="F36" s="8" t="s">
        <v>479</v>
      </c>
      <c r="G36" s="7" t="s">
        <v>42</v>
      </c>
      <c r="H36" s="8"/>
    </row>
    <row r="37" spans="1:8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1</v>
      </c>
      <c r="F37" s="8" t="s">
        <v>480</v>
      </c>
      <c r="G37" s="7" t="s">
        <v>42</v>
      </c>
      <c r="H37" s="8"/>
    </row>
    <row r="38" spans="1:8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1</v>
      </c>
      <c r="F38" s="8" t="s">
        <v>481</v>
      </c>
      <c r="G38" s="7" t="s">
        <v>42</v>
      </c>
      <c r="H38" s="8"/>
    </row>
    <row r="39" spans="1:8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1</v>
      </c>
      <c r="F39" s="8" t="s">
        <v>482</v>
      </c>
      <c r="G39" s="7" t="s">
        <v>42</v>
      </c>
      <c r="H39" s="8"/>
    </row>
    <row r="40" spans="1:8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1</v>
      </c>
      <c r="F40" s="8" t="s">
        <v>483</v>
      </c>
      <c r="G40" s="7" t="s">
        <v>42</v>
      </c>
      <c r="H40" s="8"/>
    </row>
    <row r="41" spans="1:8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1</v>
      </c>
      <c r="F41" s="8" t="s">
        <v>484</v>
      </c>
      <c r="G41" s="7" t="s">
        <v>42</v>
      </c>
      <c r="H41" s="8"/>
    </row>
    <row r="42" spans="1:8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2</v>
      </c>
      <c r="F42" s="8" t="s">
        <v>485</v>
      </c>
      <c r="G42" s="7" t="s">
        <v>369</v>
      </c>
      <c r="H42" s="8"/>
    </row>
    <row r="43" spans="1:8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486</v>
      </c>
      <c r="G43" s="7" t="s">
        <v>42</v>
      </c>
      <c r="H43" s="8"/>
    </row>
    <row r="44" spans="1:8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171</v>
      </c>
      <c r="G44" s="7" t="s">
        <v>42</v>
      </c>
      <c r="H44" s="8"/>
    </row>
    <row r="45" spans="1:8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2</v>
      </c>
      <c r="F45" s="8" t="s">
        <v>487</v>
      </c>
      <c r="G45" s="7" t="s">
        <v>488</v>
      </c>
      <c r="H45" s="8"/>
    </row>
    <row r="46" spans="1:8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2</v>
      </c>
      <c r="F46" s="8" t="s">
        <v>489</v>
      </c>
      <c r="G46" s="7" t="s">
        <v>455</v>
      </c>
      <c r="H46" s="8"/>
    </row>
    <row r="47" spans="1:8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2</v>
      </c>
      <c r="F47" s="8" t="s">
        <v>490</v>
      </c>
      <c r="G47" s="7" t="s">
        <v>491</v>
      </c>
      <c r="H47" s="8"/>
    </row>
    <row r="48" spans="1:8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1</v>
      </c>
      <c r="F48" s="8" t="s">
        <v>492</v>
      </c>
      <c r="G48" s="7" t="s">
        <v>42</v>
      </c>
      <c r="H48" s="8"/>
    </row>
    <row r="50" spans="1:8" ht="15.75" customHeight="1" x14ac:dyDescent="0.2">
      <c r="A50" s="11" t="s">
        <v>187</v>
      </c>
    </row>
    <row r="51" spans="1:8" ht="15.75" customHeight="1" x14ac:dyDescent="0.2">
      <c r="A51" s="12" t="s">
        <v>188</v>
      </c>
      <c r="B51" s="13">
        <f>IFERROR(AVERAGE(E4,E5,E6,E7,E8,E9,E10,E11,E12,E13,E14,E15,E16,E17,E18),"")</f>
        <v>1.8</v>
      </c>
    </row>
    <row r="52" spans="1:8" ht="15.75" customHeight="1" x14ac:dyDescent="0.2">
      <c r="A52" s="14" t="s">
        <v>189</v>
      </c>
      <c r="B52" s="13">
        <f>IFERROR(AVERAGE(E19,E20,E21,E22,E23,E24,E25,E26,E27,E28,E29,E30,E31,E32,E33),"")</f>
        <v>2.3333333333333335</v>
      </c>
    </row>
    <row r="53" spans="1:8" ht="15.75" customHeight="1" x14ac:dyDescent="0.2">
      <c r="A53" s="15" t="s">
        <v>190</v>
      </c>
      <c r="B53" s="13">
        <f>IFERROR(AVERAGE(E34,E35,E36,E37,E38,E39,E40,E41,E42,E43,E44,E45,E46,E47,E48),"")</f>
        <v>1.2666666666666666</v>
      </c>
    </row>
    <row r="54" spans="1:8" ht="15.75" customHeight="1" x14ac:dyDescent="0.2">
      <c r="A54" s="16" t="s">
        <v>191</v>
      </c>
      <c r="B54" s="17">
        <f>IFERROR(B52-B51,"")</f>
        <v>0.53333333333333344</v>
      </c>
    </row>
    <row r="56" spans="1:8" ht="15.75" customHeight="1" x14ac:dyDescent="0.2">
      <c r="A56" s="16" t="s">
        <v>192</v>
      </c>
    </row>
    <row r="57" spans="1:8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</row>
    <row r="58" spans="1:8" ht="64.5" customHeight="1" x14ac:dyDescent="0.2">
      <c r="A58" s="6" t="s">
        <v>197</v>
      </c>
      <c r="B58" s="18">
        <f>IFERROR(AVERAGE(E4,E5,E6),"")</f>
        <v>2</v>
      </c>
      <c r="C58" s="18">
        <f>IFERROR(AVERAGE(E19,E20,E21),"")</f>
        <v>3</v>
      </c>
      <c r="D58" s="19">
        <f>IFERROR(C58-B58,"")</f>
        <v>1</v>
      </c>
      <c r="E58" s="18">
        <f>IFERROR(AVERAGE(E34,E35,E36),"")</f>
        <v>1</v>
      </c>
    </row>
    <row r="59" spans="1:8" ht="39" customHeight="1" x14ac:dyDescent="0.2">
      <c r="A59" s="6" t="s">
        <v>198</v>
      </c>
      <c r="B59" s="18">
        <f>IFERROR(AVERAGE(E7,E8,E9),"")</f>
        <v>2</v>
      </c>
      <c r="C59" s="18">
        <f>IFERROR(AVERAGE(E22,E23,E24),"")</f>
        <v>2.3333333333333335</v>
      </c>
      <c r="D59" s="19">
        <f>IFERROR(C59-B59,"")</f>
        <v>0.33333333333333348</v>
      </c>
      <c r="E59" s="18">
        <f>IFERROR(AVERAGE(E37,E38,E39),"")</f>
        <v>1</v>
      </c>
    </row>
    <row r="60" spans="1:8" ht="64.5" customHeight="1" x14ac:dyDescent="0.2">
      <c r="A60" s="6" t="s">
        <v>199</v>
      </c>
      <c r="B60" s="18">
        <f>IFERROR(AVERAGE(E16,E17,E18),"")</f>
        <v>1.6666666666666667</v>
      </c>
      <c r="C60" s="18">
        <f>IFERROR(AVERAGE(E31,E32,E33),"")</f>
        <v>2.6666666666666665</v>
      </c>
      <c r="D60" s="19">
        <f>IFERROR(C60-B60,"")</f>
        <v>0.99999999999999978</v>
      </c>
      <c r="E60" s="18">
        <f>IFERROR(AVERAGE(E46,E47,E48),"")</f>
        <v>1.6666666666666667</v>
      </c>
    </row>
    <row r="62" spans="1:8" ht="25.5" customHeight="1" x14ac:dyDescent="0.2">
      <c r="A62" s="85"/>
      <c r="B62" s="86"/>
      <c r="C62" s="86"/>
      <c r="D62" s="86"/>
      <c r="E62" s="86"/>
      <c r="F62" s="86"/>
      <c r="G62" s="86"/>
      <c r="H62" s="86"/>
    </row>
    <row r="63" spans="1:8" ht="26" x14ac:dyDescent="0.2">
      <c r="A63" s="36" t="s">
        <v>44</v>
      </c>
      <c r="E63">
        <f>IFERROR(ROUND(AVERAGE(E40:E42),2),"")</f>
        <v>1.33</v>
      </c>
    </row>
    <row r="64" spans="1:8" ht="26" x14ac:dyDescent="0.2">
      <c r="A64" s="36" t="s">
        <v>909</v>
      </c>
      <c r="E64">
        <f>+IFERROR(ROUND(AVERAGE(E43:E45),2),"")</f>
        <v>1.33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4"/>
  <sheetViews>
    <sheetView topLeftCell="A48" zoomScaleNormal="100" workbookViewId="0">
      <selection activeCell="C68" sqref="C67:C68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3"/>
      <c r="C1" s="84"/>
      <c r="D1" s="84"/>
      <c r="E1" s="1" t="s">
        <v>1</v>
      </c>
      <c r="F1" s="83"/>
      <c r="G1" s="84"/>
      <c r="H1" s="2" t="s">
        <v>892</v>
      </c>
      <c r="I1" s="20" t="s">
        <v>200</v>
      </c>
    </row>
    <row r="2" spans="1:9" ht="15.75" customHeight="1" x14ac:dyDescent="0.2">
      <c r="B2" t="s">
        <v>493</v>
      </c>
      <c r="F2" t="s">
        <v>432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3</v>
      </c>
      <c r="F4" s="8" t="s">
        <v>494</v>
      </c>
      <c r="G4" s="7" t="s">
        <v>495</v>
      </c>
      <c r="H4" s="8" t="s">
        <v>496</v>
      </c>
      <c r="I4" s="22" t="s">
        <v>205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3</v>
      </c>
      <c r="F5" s="8" t="s">
        <v>497</v>
      </c>
      <c r="G5" s="7" t="s">
        <v>498</v>
      </c>
      <c r="H5" s="8"/>
      <c r="I5" s="22" t="s">
        <v>205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3</v>
      </c>
      <c r="F6" s="8" t="s">
        <v>499</v>
      </c>
      <c r="G6" s="7" t="s">
        <v>495</v>
      </c>
      <c r="H6" s="8"/>
      <c r="I6" s="22" t="s">
        <v>205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500</v>
      </c>
      <c r="G7" s="7" t="s">
        <v>495</v>
      </c>
      <c r="H7" s="8"/>
      <c r="I7" s="22" t="s">
        <v>205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3</v>
      </c>
      <c r="F8" s="8" t="s">
        <v>501</v>
      </c>
      <c r="G8" s="7" t="s">
        <v>502</v>
      </c>
      <c r="H8" s="8"/>
      <c r="I8" s="22" t="s">
        <v>205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3</v>
      </c>
      <c r="F9" s="8" t="s">
        <v>503</v>
      </c>
      <c r="G9" s="7" t="s">
        <v>504</v>
      </c>
      <c r="H9" s="8"/>
      <c r="I9" s="22" t="s">
        <v>205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3</v>
      </c>
      <c r="F10" s="8" t="s">
        <v>505</v>
      </c>
      <c r="G10" s="7" t="s">
        <v>495</v>
      </c>
      <c r="H10" s="8"/>
      <c r="I10" s="22" t="s">
        <v>205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2</v>
      </c>
      <c r="F11" s="8" t="s">
        <v>506</v>
      </c>
      <c r="G11" s="7" t="s">
        <v>507</v>
      </c>
      <c r="H11" s="8"/>
      <c r="I11" s="22" t="s">
        <v>205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2</v>
      </c>
      <c r="F12" s="8" t="s">
        <v>508</v>
      </c>
      <c r="G12" s="7" t="s">
        <v>495</v>
      </c>
      <c r="H12" s="8"/>
      <c r="I12" s="22" t="s">
        <v>205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2</v>
      </c>
      <c r="F13" s="8" t="s">
        <v>509</v>
      </c>
      <c r="G13" s="7" t="s">
        <v>42</v>
      </c>
      <c r="H13" s="8"/>
      <c r="I13" s="22" t="s">
        <v>205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2</v>
      </c>
      <c r="F14" s="8" t="s">
        <v>510</v>
      </c>
      <c r="G14" s="7" t="s">
        <v>42</v>
      </c>
      <c r="H14" s="8"/>
      <c r="I14" s="22" t="s">
        <v>205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511</v>
      </c>
      <c r="G15" s="7" t="s">
        <v>512</v>
      </c>
      <c r="H15" s="8"/>
      <c r="I15" s="22" t="s">
        <v>205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513</v>
      </c>
      <c r="G16" s="7" t="s">
        <v>514</v>
      </c>
      <c r="H16" s="8"/>
      <c r="I16" s="22" t="s">
        <v>205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515</v>
      </c>
      <c r="G17" s="7" t="s">
        <v>495</v>
      </c>
      <c r="H17" s="8"/>
      <c r="I17" s="22" t="s">
        <v>205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516</v>
      </c>
      <c r="G18" s="7" t="s">
        <v>517</v>
      </c>
      <c r="H18" s="8"/>
      <c r="I18" s="22" t="s">
        <v>205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3</v>
      </c>
      <c r="F19" s="8" t="s">
        <v>518</v>
      </c>
      <c r="G19" s="7" t="s">
        <v>455</v>
      </c>
      <c r="H19" s="8"/>
      <c r="I19" s="22" t="s">
        <v>205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3</v>
      </c>
      <c r="F20" s="8" t="s">
        <v>519</v>
      </c>
      <c r="G20" s="7" t="s">
        <v>455</v>
      </c>
      <c r="H20" s="8"/>
      <c r="I20" s="22" t="s">
        <v>205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520</v>
      </c>
      <c r="G21" s="7" t="s">
        <v>521</v>
      </c>
      <c r="H21" s="8"/>
      <c r="I21" s="22" t="s">
        <v>205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4</v>
      </c>
      <c r="F22" s="8" t="s">
        <v>522</v>
      </c>
      <c r="G22" s="7" t="s">
        <v>455</v>
      </c>
      <c r="H22" s="8"/>
      <c r="I22" s="22" t="s">
        <v>205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1</v>
      </c>
      <c r="F23" s="8" t="s">
        <v>463</v>
      </c>
      <c r="G23" s="7" t="s">
        <v>42</v>
      </c>
      <c r="H23" s="8"/>
      <c r="I23" s="22" t="s">
        <v>205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523</v>
      </c>
      <c r="G24" s="7" t="s">
        <v>524</v>
      </c>
      <c r="H24" s="8"/>
      <c r="I24" s="22" t="s">
        <v>205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1</v>
      </c>
      <c r="F25" s="8" t="s">
        <v>466</v>
      </c>
      <c r="G25" s="7" t="s">
        <v>42</v>
      </c>
      <c r="H25" s="8"/>
      <c r="I25" s="22" t="s">
        <v>205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3</v>
      </c>
      <c r="F26" s="8" t="s">
        <v>525</v>
      </c>
      <c r="G26" s="7" t="s">
        <v>526</v>
      </c>
      <c r="H26" s="8"/>
      <c r="I26" s="22" t="s">
        <v>205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527</v>
      </c>
      <c r="G27" s="7" t="s">
        <v>442</v>
      </c>
      <c r="H27" s="8" t="s">
        <v>528</v>
      </c>
      <c r="I27" s="22" t="s">
        <v>205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2</v>
      </c>
      <c r="F28" s="8" t="s">
        <v>529</v>
      </c>
      <c r="G28" s="7" t="s">
        <v>42</v>
      </c>
      <c r="H28" s="8"/>
      <c r="I28" s="22" t="s">
        <v>205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3</v>
      </c>
      <c r="F29" s="8" t="s">
        <v>530</v>
      </c>
      <c r="G29" s="7" t="s">
        <v>442</v>
      </c>
      <c r="H29" s="8"/>
      <c r="I29" s="22" t="s">
        <v>205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1</v>
      </c>
      <c r="F30" s="8" t="s">
        <v>473</v>
      </c>
      <c r="G30" s="7" t="s">
        <v>42</v>
      </c>
      <c r="H30" s="8"/>
      <c r="I30" s="22" t="s">
        <v>205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531</v>
      </c>
      <c r="G31" s="7" t="s">
        <v>455</v>
      </c>
      <c r="H31" s="8"/>
      <c r="I31" s="22" t="s">
        <v>205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2</v>
      </c>
      <c r="F32" s="8" t="s">
        <v>532</v>
      </c>
      <c r="G32" s="7" t="s">
        <v>507</v>
      </c>
      <c r="H32" s="8"/>
      <c r="I32" s="22" t="s">
        <v>205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4</v>
      </c>
      <c r="F33" s="8" t="s">
        <v>533</v>
      </c>
      <c r="G33" s="7" t="s">
        <v>534</v>
      </c>
      <c r="H33" s="8"/>
      <c r="I33" s="22" t="s">
        <v>205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2</v>
      </c>
      <c r="F34" s="8" t="s">
        <v>535</v>
      </c>
      <c r="G34" s="7" t="s">
        <v>498</v>
      </c>
      <c r="H34" s="8"/>
      <c r="I34" s="22" t="s">
        <v>205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536</v>
      </c>
      <c r="G35" s="7" t="s">
        <v>495</v>
      </c>
      <c r="H35" s="8"/>
      <c r="I35" s="22" t="s">
        <v>205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2</v>
      </c>
      <c r="F36" s="8" t="s">
        <v>537</v>
      </c>
      <c r="G36" s="7" t="s">
        <v>498</v>
      </c>
      <c r="H36" s="8"/>
      <c r="I36" s="22" t="s">
        <v>205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538</v>
      </c>
      <c r="G37" s="7" t="s">
        <v>495</v>
      </c>
      <c r="H37" s="8"/>
      <c r="I37" s="22" t="s">
        <v>205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2</v>
      </c>
      <c r="F38" s="8" t="s">
        <v>481</v>
      </c>
      <c r="G38" s="7" t="s">
        <v>42</v>
      </c>
      <c r="H38" s="8"/>
      <c r="I38" s="22" t="s">
        <v>205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2</v>
      </c>
      <c r="F39" s="8" t="s">
        <v>539</v>
      </c>
      <c r="G39" s="7" t="s">
        <v>514</v>
      </c>
      <c r="H39" s="8"/>
      <c r="I39" s="22" t="s">
        <v>205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3</v>
      </c>
      <c r="F40" s="8" t="s">
        <v>540</v>
      </c>
      <c r="G40" s="7" t="s">
        <v>495</v>
      </c>
      <c r="H40" s="8"/>
      <c r="I40" s="22" t="s">
        <v>205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2</v>
      </c>
      <c r="F41" s="8" t="s">
        <v>541</v>
      </c>
      <c r="G41" s="7" t="s">
        <v>42</v>
      </c>
      <c r="H41" s="8"/>
      <c r="I41" s="22" t="s">
        <v>205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2</v>
      </c>
      <c r="F42" s="8" t="s">
        <v>542</v>
      </c>
      <c r="G42" s="7" t="s">
        <v>507</v>
      </c>
      <c r="H42" s="8"/>
      <c r="I42" s="22" t="s">
        <v>205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486</v>
      </c>
      <c r="G43" s="7" t="s">
        <v>42</v>
      </c>
      <c r="H43" s="8"/>
      <c r="I43" s="22" t="s">
        <v>205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171</v>
      </c>
      <c r="G44" s="7" t="s">
        <v>42</v>
      </c>
      <c r="H44" s="8"/>
      <c r="I44" s="22" t="s">
        <v>205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2</v>
      </c>
      <c r="F45" s="8" t="s">
        <v>543</v>
      </c>
      <c r="G45" s="7" t="s">
        <v>512</v>
      </c>
      <c r="H45" s="8"/>
      <c r="I45" s="22" t="s">
        <v>205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2</v>
      </c>
      <c r="F46" s="8" t="s">
        <v>544</v>
      </c>
      <c r="G46" s="7" t="s">
        <v>545</v>
      </c>
      <c r="H46" s="8"/>
      <c r="I46" s="22" t="s">
        <v>205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3</v>
      </c>
      <c r="F47" s="8" t="s">
        <v>546</v>
      </c>
      <c r="G47" s="7" t="s">
        <v>547</v>
      </c>
      <c r="H47" s="8"/>
      <c r="I47" s="22" t="s">
        <v>205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2</v>
      </c>
      <c r="F48" s="8" t="s">
        <v>492</v>
      </c>
      <c r="G48" s="7" t="s">
        <v>42</v>
      </c>
      <c r="H48" s="8"/>
      <c r="I48" s="22" t="s">
        <v>205</v>
      </c>
    </row>
    <row r="50" spans="1:9" ht="15.75" customHeight="1" x14ac:dyDescent="0.2">
      <c r="A50" s="11" t="s">
        <v>187</v>
      </c>
    </row>
    <row r="51" spans="1:9" ht="15.75" customHeight="1" x14ac:dyDescent="0.2">
      <c r="A51" s="12" t="s">
        <v>188</v>
      </c>
      <c r="B51" s="13">
        <f>IFERROR(AVERAGE(E4,E5,E6,E7,E8,E9,E10,E11,E12,E13,E14,E15,E16,E17,E18),"")</f>
        <v>2.6</v>
      </c>
      <c r="I51" s="22" t="s">
        <v>205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2.7333333333333334</v>
      </c>
      <c r="I52" s="22" t="s">
        <v>205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2.0666666666666669</v>
      </c>
      <c r="I53" s="22" t="s">
        <v>205</v>
      </c>
    </row>
    <row r="54" spans="1:9" ht="15.75" customHeight="1" x14ac:dyDescent="0.2">
      <c r="A54" s="16" t="s">
        <v>191</v>
      </c>
      <c r="B54" s="17">
        <f>IFERROR(B52-B51,"")</f>
        <v>0.1333333333333333</v>
      </c>
      <c r="I54" s="22" t="s">
        <v>205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205</v>
      </c>
    </row>
    <row r="58" spans="1:9" ht="64.5" customHeight="1" x14ac:dyDescent="0.2">
      <c r="A58" s="6" t="s">
        <v>197</v>
      </c>
      <c r="B58" s="18">
        <f>IFERROR(AVERAGE(E4,E5,E6),"")</f>
        <v>3</v>
      </c>
      <c r="C58" s="18">
        <f>IFERROR(AVERAGE(E19,E20,E21),"")</f>
        <v>3.3333333333333335</v>
      </c>
      <c r="D58" s="19">
        <f>IFERROR(C58-B58,"")</f>
        <v>0.33333333333333348</v>
      </c>
      <c r="E58" s="18">
        <f>IFERROR(AVERAGE(E34,E35,E36),"")</f>
        <v>2</v>
      </c>
      <c r="I58" s="22" t="s">
        <v>205</v>
      </c>
    </row>
    <row r="59" spans="1:9" ht="39" customHeight="1" x14ac:dyDescent="0.2">
      <c r="A59" s="6" t="s">
        <v>198</v>
      </c>
      <c r="B59" s="18">
        <f>IFERROR(AVERAGE(E7,E8,E9),"")</f>
        <v>3</v>
      </c>
      <c r="C59" s="18">
        <f>IFERROR(AVERAGE(E22,E23,E24),"")</f>
        <v>2.6666666666666665</v>
      </c>
      <c r="D59" s="19">
        <f>IFERROR(C59-B59,"")</f>
        <v>-0.33333333333333348</v>
      </c>
      <c r="E59" s="18">
        <f>IFERROR(AVERAGE(E37,E38,E39),"")</f>
        <v>2.3333333333333335</v>
      </c>
      <c r="I59" s="22" t="s">
        <v>205</v>
      </c>
    </row>
    <row r="60" spans="1:9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3</v>
      </c>
      <c r="D60" s="19">
        <f>IFERROR(C60-B60,"")</f>
        <v>0.33333333333333348</v>
      </c>
      <c r="E60" s="18">
        <f>IFERROR(AVERAGE(E46,E47,E48),"")</f>
        <v>2.3333333333333335</v>
      </c>
      <c r="I60" s="22" t="s">
        <v>205</v>
      </c>
    </row>
    <row r="62" spans="1:9" ht="25.5" customHeight="1" x14ac:dyDescent="0.2">
      <c r="A62" s="85"/>
      <c r="B62" s="86"/>
      <c r="C62" s="86"/>
      <c r="D62" s="86"/>
      <c r="E62" s="86"/>
      <c r="F62" s="86"/>
      <c r="G62" s="86"/>
      <c r="H62" s="86"/>
    </row>
    <row r="63" spans="1:9" ht="26" x14ac:dyDescent="0.2">
      <c r="A63" s="36" t="s">
        <v>44</v>
      </c>
      <c r="E63">
        <f>IFERROR(ROUND(AVERAGE(E40:E42),2),"")</f>
        <v>2.33</v>
      </c>
    </row>
    <row r="64" spans="1:9" ht="26" x14ac:dyDescent="0.2">
      <c r="A64" s="36" t="s">
        <v>909</v>
      </c>
      <c r="E64">
        <f>IFERROR(ROUND(AVERAGE(E43:E45),2),"")</f>
        <v>1.33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topLeftCell="A55" zoomScale="150" zoomScaleNormal="100" workbookViewId="0">
      <selection activeCell="A63" sqref="A63:A64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3"/>
      <c r="C1" s="84"/>
      <c r="D1" s="84"/>
      <c r="E1" s="1" t="s">
        <v>1</v>
      </c>
      <c r="F1" s="83"/>
      <c r="G1" s="84"/>
      <c r="H1" s="2" t="s">
        <v>892</v>
      </c>
      <c r="I1" s="20" t="s">
        <v>200</v>
      </c>
    </row>
    <row r="2" spans="1:9" ht="15.75" customHeight="1" x14ac:dyDescent="0.2">
      <c r="B2" t="s">
        <v>548</v>
      </c>
      <c r="F2" t="s">
        <v>432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4</v>
      </c>
      <c r="F4" s="8" t="s">
        <v>549</v>
      </c>
      <c r="G4" s="7" t="s">
        <v>550</v>
      </c>
      <c r="H4" s="8" t="s">
        <v>551</v>
      </c>
      <c r="I4" s="22" t="s">
        <v>205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3</v>
      </c>
      <c r="F5" s="8" t="s">
        <v>552</v>
      </c>
      <c r="G5" s="7" t="s">
        <v>553</v>
      </c>
      <c r="H5" s="8"/>
      <c r="I5" s="22" t="s">
        <v>205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3</v>
      </c>
      <c r="F6" s="8" t="s">
        <v>554</v>
      </c>
      <c r="G6" s="7" t="s">
        <v>555</v>
      </c>
      <c r="H6" s="8"/>
      <c r="I6" s="22" t="s">
        <v>205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556</v>
      </c>
      <c r="G7" s="7" t="s">
        <v>557</v>
      </c>
      <c r="H7" s="8"/>
      <c r="I7" s="22" t="s">
        <v>205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3</v>
      </c>
      <c r="F8" s="8" t="s">
        <v>558</v>
      </c>
      <c r="G8" s="7" t="s">
        <v>559</v>
      </c>
      <c r="H8" s="8"/>
      <c r="I8" s="22" t="s">
        <v>205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3</v>
      </c>
      <c r="F9" s="8" t="s">
        <v>560</v>
      </c>
      <c r="G9" s="7" t="s">
        <v>561</v>
      </c>
      <c r="H9" s="8"/>
      <c r="I9" s="22" t="s">
        <v>205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3</v>
      </c>
      <c r="F10" s="8" t="s">
        <v>562</v>
      </c>
      <c r="G10" s="7" t="s">
        <v>550</v>
      </c>
      <c r="H10" s="8"/>
      <c r="I10" s="22" t="s">
        <v>205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3</v>
      </c>
      <c r="F11" s="8" t="s">
        <v>563</v>
      </c>
      <c r="G11" s="7" t="s">
        <v>550</v>
      </c>
      <c r="H11" s="8"/>
      <c r="I11" s="22" t="s">
        <v>205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3</v>
      </c>
      <c r="F12" s="8" t="s">
        <v>564</v>
      </c>
      <c r="G12" s="7" t="s">
        <v>555</v>
      </c>
      <c r="H12" s="8"/>
      <c r="I12" s="22" t="s">
        <v>205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3</v>
      </c>
      <c r="F13" s="8" t="s">
        <v>565</v>
      </c>
      <c r="G13" s="7" t="s">
        <v>550</v>
      </c>
      <c r="H13" s="8"/>
      <c r="I13" s="22" t="s">
        <v>205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2</v>
      </c>
      <c r="F14" s="8" t="s">
        <v>566</v>
      </c>
      <c r="G14" s="7" t="s">
        <v>550</v>
      </c>
      <c r="H14" s="8"/>
      <c r="I14" s="22" t="s">
        <v>205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4</v>
      </c>
      <c r="F15" s="8" t="s">
        <v>567</v>
      </c>
      <c r="G15" s="7" t="s">
        <v>557</v>
      </c>
      <c r="H15" s="8"/>
      <c r="I15" s="22" t="s">
        <v>205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568</v>
      </c>
      <c r="G16" s="7" t="s">
        <v>557</v>
      </c>
      <c r="H16" s="8"/>
      <c r="I16" s="22" t="s">
        <v>205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569</v>
      </c>
      <c r="G17" s="7" t="s">
        <v>550</v>
      </c>
      <c r="H17" s="8"/>
      <c r="I17" s="22" t="s">
        <v>205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570</v>
      </c>
      <c r="G18" s="7" t="s">
        <v>571</v>
      </c>
      <c r="H18" s="8"/>
      <c r="I18" s="22" t="s">
        <v>205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4</v>
      </c>
      <c r="F19" s="8" t="s">
        <v>572</v>
      </c>
      <c r="G19" s="7" t="s">
        <v>550</v>
      </c>
      <c r="H19" s="8"/>
      <c r="I19" s="22" t="s">
        <v>205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3</v>
      </c>
      <c r="F20" s="8" t="s">
        <v>573</v>
      </c>
      <c r="G20" s="7" t="s">
        <v>574</v>
      </c>
      <c r="H20" s="8"/>
      <c r="I20" s="22" t="s">
        <v>205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575</v>
      </c>
      <c r="G21" s="7" t="s">
        <v>576</v>
      </c>
      <c r="H21" s="8"/>
      <c r="I21" s="22" t="s">
        <v>205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3</v>
      </c>
      <c r="F22" s="8" t="s">
        <v>577</v>
      </c>
      <c r="G22" s="7" t="s">
        <v>578</v>
      </c>
      <c r="H22" s="8"/>
      <c r="I22" s="22" t="s">
        <v>205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1</v>
      </c>
      <c r="F23" s="8" t="s">
        <v>463</v>
      </c>
      <c r="G23" s="7" t="s">
        <v>42</v>
      </c>
      <c r="H23" s="8"/>
      <c r="I23" s="22" t="s">
        <v>205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4</v>
      </c>
      <c r="F24" s="8" t="s">
        <v>579</v>
      </c>
      <c r="G24" s="7" t="s">
        <v>571</v>
      </c>
      <c r="H24" s="8"/>
      <c r="I24" s="22" t="s">
        <v>205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2</v>
      </c>
      <c r="F25" s="8" t="s">
        <v>580</v>
      </c>
      <c r="G25" s="7" t="s">
        <v>42</v>
      </c>
      <c r="H25" s="8"/>
      <c r="I25" s="22" t="s">
        <v>205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4</v>
      </c>
      <c r="F26" s="8" t="s">
        <v>581</v>
      </c>
      <c r="G26" s="7" t="s">
        <v>557</v>
      </c>
      <c r="H26" s="8"/>
      <c r="I26" s="22" t="s">
        <v>205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582</v>
      </c>
      <c r="G27" s="7" t="s">
        <v>583</v>
      </c>
      <c r="H27" s="8"/>
      <c r="I27" s="22" t="s">
        <v>205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4</v>
      </c>
      <c r="F28" s="8" t="s">
        <v>584</v>
      </c>
      <c r="G28" s="7" t="s">
        <v>571</v>
      </c>
      <c r="H28" s="8" t="s">
        <v>585</v>
      </c>
      <c r="I28" s="23" t="s">
        <v>586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4</v>
      </c>
      <c r="F29" s="8" t="s">
        <v>587</v>
      </c>
      <c r="G29" s="7" t="s">
        <v>571</v>
      </c>
      <c r="H29" s="8"/>
      <c r="I29" s="22" t="s">
        <v>205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1</v>
      </c>
      <c r="F30" s="8" t="s">
        <v>473</v>
      </c>
      <c r="G30" s="7" t="s">
        <v>42</v>
      </c>
      <c r="H30" s="8"/>
      <c r="I30" s="22" t="s">
        <v>205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588</v>
      </c>
      <c r="G31" s="7" t="s">
        <v>571</v>
      </c>
      <c r="H31" s="8"/>
      <c r="I31" s="22" t="s">
        <v>205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3</v>
      </c>
      <c r="F32" s="8" t="s">
        <v>589</v>
      </c>
      <c r="G32" s="7" t="s">
        <v>571</v>
      </c>
      <c r="H32" s="8"/>
      <c r="I32" s="22" t="s">
        <v>205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4</v>
      </c>
      <c r="F33" s="8" t="s">
        <v>590</v>
      </c>
      <c r="G33" s="7" t="s">
        <v>571</v>
      </c>
      <c r="H33" s="8"/>
      <c r="I33" s="22" t="s">
        <v>205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2</v>
      </c>
      <c r="F34" s="8" t="s">
        <v>591</v>
      </c>
      <c r="G34" s="7" t="s">
        <v>592</v>
      </c>
      <c r="H34" s="8"/>
      <c r="I34" s="22" t="s">
        <v>205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593</v>
      </c>
      <c r="G35" s="7" t="s">
        <v>550</v>
      </c>
      <c r="H35" s="8"/>
      <c r="I35" s="22" t="s">
        <v>205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3</v>
      </c>
      <c r="F36" s="8" t="s">
        <v>594</v>
      </c>
      <c r="G36" s="7" t="s">
        <v>571</v>
      </c>
      <c r="H36" s="8"/>
      <c r="I36" s="22" t="s">
        <v>205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595</v>
      </c>
      <c r="G37" s="7" t="s">
        <v>576</v>
      </c>
      <c r="H37" s="8"/>
      <c r="I37" s="22" t="s">
        <v>205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2</v>
      </c>
      <c r="F38" s="8" t="s">
        <v>481</v>
      </c>
      <c r="G38" s="7" t="s">
        <v>42</v>
      </c>
      <c r="H38" s="8"/>
      <c r="I38" s="22" t="s">
        <v>205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2</v>
      </c>
      <c r="F39" s="8" t="s">
        <v>596</v>
      </c>
      <c r="G39" s="7" t="s">
        <v>597</v>
      </c>
      <c r="H39" s="8"/>
      <c r="I39" s="22" t="s">
        <v>205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2</v>
      </c>
      <c r="F40" s="8" t="s">
        <v>598</v>
      </c>
      <c r="G40" s="7" t="s">
        <v>550</v>
      </c>
      <c r="H40" s="8"/>
      <c r="I40" s="22" t="s">
        <v>205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3</v>
      </c>
      <c r="F41" s="8" t="s">
        <v>599</v>
      </c>
      <c r="G41" s="7" t="s">
        <v>571</v>
      </c>
      <c r="H41" s="8"/>
      <c r="I41" s="22" t="s">
        <v>205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3</v>
      </c>
      <c r="F42" s="8" t="s">
        <v>600</v>
      </c>
      <c r="G42" s="7" t="s">
        <v>550</v>
      </c>
      <c r="H42" s="8"/>
      <c r="I42" s="22" t="s">
        <v>205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2</v>
      </c>
      <c r="F43" s="8" t="s">
        <v>601</v>
      </c>
      <c r="G43" s="7" t="s">
        <v>571</v>
      </c>
      <c r="H43" s="8"/>
      <c r="I43" s="22" t="s">
        <v>205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2</v>
      </c>
      <c r="F44" s="8" t="s">
        <v>602</v>
      </c>
      <c r="G44" s="7" t="s">
        <v>571</v>
      </c>
      <c r="H44" s="8"/>
      <c r="I44" s="22" t="s">
        <v>205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3</v>
      </c>
      <c r="F45" s="8" t="s">
        <v>603</v>
      </c>
      <c r="G45" s="7" t="s">
        <v>557</v>
      </c>
      <c r="H45" s="8"/>
      <c r="I45" s="22" t="s">
        <v>205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3</v>
      </c>
      <c r="F46" s="8" t="s">
        <v>604</v>
      </c>
      <c r="G46" s="7" t="s">
        <v>557</v>
      </c>
      <c r="H46" s="8"/>
      <c r="I46" s="22" t="s">
        <v>205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2</v>
      </c>
      <c r="F47" s="8" t="s">
        <v>605</v>
      </c>
      <c r="G47" s="7" t="s">
        <v>571</v>
      </c>
      <c r="H47" s="8"/>
      <c r="I47" s="22" t="s">
        <v>205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3</v>
      </c>
      <c r="F48" s="8" t="s">
        <v>606</v>
      </c>
      <c r="G48" s="7" t="s">
        <v>607</v>
      </c>
      <c r="H48" s="8"/>
      <c r="I48" s="22" t="s">
        <v>205</v>
      </c>
    </row>
    <row r="50" spans="1:9" ht="15.75" customHeight="1" x14ac:dyDescent="0.2">
      <c r="A50" s="11" t="s">
        <v>187</v>
      </c>
    </row>
    <row r="51" spans="1:9" ht="15.75" customHeight="1" x14ac:dyDescent="0.2">
      <c r="A51" s="12" t="s">
        <v>188</v>
      </c>
      <c r="B51" s="13">
        <f>IFERROR(AVERAGE(E4,E5,E6,E7,E8,E9,E10,E11,E12,E13,E14,E15,E16,E17,E18),"")</f>
        <v>3</v>
      </c>
      <c r="I51" s="22" t="s">
        <v>205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3.2</v>
      </c>
      <c r="I52" s="22" t="s">
        <v>205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2.4666666666666668</v>
      </c>
      <c r="I53" s="22" t="s">
        <v>205</v>
      </c>
    </row>
    <row r="54" spans="1:9" ht="15.75" customHeight="1" x14ac:dyDescent="0.2">
      <c r="A54" s="16" t="s">
        <v>191</v>
      </c>
      <c r="B54" s="17">
        <f>IFERROR(B52-B51,"")</f>
        <v>0.20000000000000018</v>
      </c>
      <c r="I54" s="22" t="s">
        <v>205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205</v>
      </c>
    </row>
    <row r="58" spans="1:9" ht="64.5" customHeight="1" x14ac:dyDescent="0.2">
      <c r="A58" s="6" t="s">
        <v>197</v>
      </c>
      <c r="B58" s="18">
        <f>IFERROR(AVERAGE(E4,E5,E6),"")</f>
        <v>3.3333333333333335</v>
      </c>
      <c r="C58" s="18">
        <f>IFERROR(AVERAGE(E19,E20,E21),"")</f>
        <v>3.6666666666666665</v>
      </c>
      <c r="D58" s="19">
        <f>IFERROR(C58-B58,"")</f>
        <v>0.33333333333333304</v>
      </c>
      <c r="E58" s="18">
        <f>IFERROR(AVERAGE(E34,E35,E36),"")</f>
        <v>2.3333333333333335</v>
      </c>
      <c r="I58" s="22" t="s">
        <v>205</v>
      </c>
    </row>
    <row r="59" spans="1:9" ht="39" customHeight="1" x14ac:dyDescent="0.2">
      <c r="A59" s="6" t="s">
        <v>198</v>
      </c>
      <c r="B59" s="18">
        <f>IFERROR(AVERAGE(E7,E8,E9),"")</f>
        <v>3</v>
      </c>
      <c r="C59" s="18">
        <f>IFERROR(AVERAGE(E22,E23,E24),"")</f>
        <v>2.6666666666666665</v>
      </c>
      <c r="D59" s="19">
        <f>IFERROR(C59-B59,"")</f>
        <v>-0.33333333333333348</v>
      </c>
      <c r="E59" s="18">
        <f>IFERROR(AVERAGE(E37,E38,E39),"")</f>
        <v>2.3333333333333335</v>
      </c>
      <c r="I59" s="22" t="s">
        <v>205</v>
      </c>
    </row>
    <row r="60" spans="1:9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3.3333333333333335</v>
      </c>
      <c r="D60" s="19">
        <f>IFERROR(C60-B60,"")</f>
        <v>0.66666666666666696</v>
      </c>
      <c r="E60" s="18">
        <f>IFERROR(AVERAGE(E46,E47,E48),"")</f>
        <v>2.6666666666666665</v>
      </c>
      <c r="I60" s="22" t="s">
        <v>205</v>
      </c>
    </row>
    <row r="62" spans="1:9" ht="25.5" customHeight="1" x14ac:dyDescent="0.2">
      <c r="A62" s="85"/>
      <c r="B62" s="86"/>
      <c r="C62" s="86"/>
      <c r="D62" s="86"/>
      <c r="E62" s="86"/>
      <c r="F62" s="86"/>
      <c r="G62" s="86"/>
      <c r="H62" s="86"/>
    </row>
    <row r="63" spans="1:9" ht="26" x14ac:dyDescent="0.2">
      <c r="A63" s="36" t="s">
        <v>44</v>
      </c>
      <c r="E63">
        <f>IFERROR(ROUND(AVERAGE(E40:E42),2),"")</f>
        <v>2.67</v>
      </c>
    </row>
    <row r="64" spans="1:9" ht="26" x14ac:dyDescent="0.2">
      <c r="A64" s="36" t="s">
        <v>909</v>
      </c>
      <c r="E64">
        <f>IFERROR(ROUND(AVERAGE(E43:E45),2),"")</f>
        <v>2.33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4"/>
  <sheetViews>
    <sheetView topLeftCell="A45" zoomScaleNormal="100" workbookViewId="0">
      <selection activeCell="A63" sqref="A63:A64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3"/>
      <c r="C1" s="84"/>
      <c r="D1" s="84"/>
      <c r="E1" s="1" t="s">
        <v>1</v>
      </c>
      <c r="F1" s="83"/>
      <c r="G1" s="84"/>
      <c r="H1" s="2" t="s">
        <v>892</v>
      </c>
      <c r="I1" s="20" t="s">
        <v>200</v>
      </c>
    </row>
    <row r="2" spans="1:9" ht="15.75" customHeight="1" x14ac:dyDescent="0.2">
      <c r="B2" t="s">
        <v>608</v>
      </c>
      <c r="F2" t="s">
        <v>609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2</v>
      </c>
      <c r="F4" s="8" t="s">
        <v>610</v>
      </c>
      <c r="G4" s="7" t="s">
        <v>611</v>
      </c>
      <c r="H4" s="8"/>
      <c r="I4" s="22" t="s">
        <v>205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2</v>
      </c>
      <c r="F5" s="8" t="s">
        <v>612</v>
      </c>
      <c r="G5" s="7" t="s">
        <v>611</v>
      </c>
      <c r="H5" s="8"/>
      <c r="I5" s="22" t="s">
        <v>205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1</v>
      </c>
      <c r="F6" s="8" t="s">
        <v>613</v>
      </c>
      <c r="G6" s="7" t="s">
        <v>42</v>
      </c>
      <c r="H6" s="8"/>
      <c r="I6" s="22" t="s">
        <v>205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2</v>
      </c>
      <c r="F7" s="8" t="s">
        <v>614</v>
      </c>
      <c r="G7" s="7" t="s">
        <v>611</v>
      </c>
      <c r="H7" s="8"/>
      <c r="I7" s="22" t="s">
        <v>205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1</v>
      </c>
      <c r="F8" s="8" t="s">
        <v>615</v>
      </c>
      <c r="G8" s="7" t="s">
        <v>42</v>
      </c>
      <c r="H8" s="8"/>
      <c r="I8" s="22" t="s">
        <v>205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1</v>
      </c>
      <c r="F9" s="8" t="s">
        <v>616</v>
      </c>
      <c r="G9" s="7" t="s">
        <v>42</v>
      </c>
      <c r="H9" s="8"/>
      <c r="I9" s="22" t="s">
        <v>205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1</v>
      </c>
      <c r="F10" s="8" t="s">
        <v>617</v>
      </c>
      <c r="G10" s="7" t="s">
        <v>42</v>
      </c>
      <c r="H10" s="8"/>
      <c r="I10" s="22" t="s">
        <v>205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1</v>
      </c>
      <c r="F11" s="8" t="s">
        <v>618</v>
      </c>
      <c r="G11" s="7" t="s">
        <v>42</v>
      </c>
      <c r="H11" s="8"/>
      <c r="I11" s="22" t="s">
        <v>205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1</v>
      </c>
      <c r="F12" s="8" t="s">
        <v>619</v>
      </c>
      <c r="G12" s="7" t="s">
        <v>42</v>
      </c>
      <c r="H12" s="8"/>
      <c r="I12" s="22" t="s">
        <v>205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1</v>
      </c>
      <c r="F13" s="8" t="s">
        <v>620</v>
      </c>
      <c r="G13" s="7" t="s">
        <v>42</v>
      </c>
      <c r="H13" s="8"/>
      <c r="I13" s="22" t="s">
        <v>205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1</v>
      </c>
      <c r="F14" s="8" t="s">
        <v>621</v>
      </c>
      <c r="G14" s="7" t="s">
        <v>42</v>
      </c>
      <c r="H14" s="8"/>
      <c r="I14" s="22" t="s">
        <v>205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622</v>
      </c>
      <c r="G15" s="7" t="s">
        <v>623</v>
      </c>
      <c r="H15" s="8"/>
      <c r="I15" s="22" t="s">
        <v>205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1</v>
      </c>
      <c r="F16" s="8" t="s">
        <v>624</v>
      </c>
      <c r="G16" s="7" t="s">
        <v>42</v>
      </c>
      <c r="H16" s="8"/>
      <c r="I16" s="22" t="s">
        <v>205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1</v>
      </c>
      <c r="F17" s="8" t="s">
        <v>625</v>
      </c>
      <c r="G17" s="7" t="s">
        <v>42</v>
      </c>
      <c r="H17" s="8"/>
      <c r="I17" s="22" t="s">
        <v>205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1</v>
      </c>
      <c r="F18" s="8" t="s">
        <v>626</v>
      </c>
      <c r="G18" s="7" t="s">
        <v>42</v>
      </c>
      <c r="H18" s="8"/>
      <c r="I18" s="22" t="s">
        <v>205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3</v>
      </c>
      <c r="F19" s="8" t="s">
        <v>627</v>
      </c>
      <c r="G19" s="7" t="s">
        <v>628</v>
      </c>
      <c r="H19" s="8"/>
      <c r="I19" s="22" t="s">
        <v>205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3</v>
      </c>
      <c r="F20" s="8" t="s">
        <v>629</v>
      </c>
      <c r="G20" s="7" t="s">
        <v>628</v>
      </c>
      <c r="H20" s="8"/>
      <c r="I20" s="22" t="s">
        <v>205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3</v>
      </c>
      <c r="F21" s="8" t="s">
        <v>630</v>
      </c>
      <c r="G21" s="7" t="s">
        <v>628</v>
      </c>
      <c r="H21" s="8"/>
      <c r="I21" s="22" t="s">
        <v>205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3</v>
      </c>
      <c r="F22" s="8" t="s">
        <v>631</v>
      </c>
      <c r="G22" s="7" t="s">
        <v>632</v>
      </c>
      <c r="H22" s="8"/>
      <c r="I22" s="22" t="s">
        <v>205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1</v>
      </c>
      <c r="F23" s="8" t="s">
        <v>463</v>
      </c>
      <c r="G23" s="7" t="s">
        <v>42</v>
      </c>
      <c r="H23" s="8"/>
      <c r="I23" s="22" t="s">
        <v>205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633</v>
      </c>
      <c r="G24" s="7" t="s">
        <v>628</v>
      </c>
      <c r="H24" s="8"/>
      <c r="I24" s="22" t="s">
        <v>205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2</v>
      </c>
      <c r="F25" s="8" t="s">
        <v>634</v>
      </c>
      <c r="G25" s="7" t="s">
        <v>623</v>
      </c>
      <c r="H25" s="8"/>
      <c r="I25" s="22" t="s">
        <v>205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3</v>
      </c>
      <c r="F26" s="8" t="s">
        <v>635</v>
      </c>
      <c r="G26" s="7" t="s">
        <v>623</v>
      </c>
      <c r="H26" s="8"/>
      <c r="I26" s="22" t="s">
        <v>205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3</v>
      </c>
      <c r="F27" s="8" t="s">
        <v>636</v>
      </c>
      <c r="G27" s="7" t="s">
        <v>611</v>
      </c>
      <c r="H27" s="8"/>
      <c r="I27" s="22" t="s">
        <v>205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3</v>
      </c>
      <c r="F28" s="8" t="s">
        <v>637</v>
      </c>
      <c r="G28" s="7" t="s">
        <v>623</v>
      </c>
      <c r="H28" s="8"/>
      <c r="I28" s="22" t="s">
        <v>205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3</v>
      </c>
      <c r="F29" s="8" t="s">
        <v>638</v>
      </c>
      <c r="G29" s="7" t="s">
        <v>623</v>
      </c>
      <c r="H29" s="8"/>
      <c r="I29" s="22" t="s">
        <v>205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3</v>
      </c>
      <c r="F30" s="8" t="s">
        <v>639</v>
      </c>
      <c r="G30" s="7" t="s">
        <v>623</v>
      </c>
      <c r="H30" s="8"/>
      <c r="I30" s="22" t="s">
        <v>205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640</v>
      </c>
      <c r="G31" s="7" t="s">
        <v>628</v>
      </c>
      <c r="H31" s="8"/>
      <c r="I31" s="22" t="s">
        <v>205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3</v>
      </c>
      <c r="F32" s="8" t="s">
        <v>641</v>
      </c>
      <c r="G32" s="7" t="s">
        <v>623</v>
      </c>
      <c r="H32" s="8"/>
      <c r="I32" s="22" t="s">
        <v>205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2</v>
      </c>
      <c r="F33" s="8" t="s">
        <v>642</v>
      </c>
      <c r="G33" s="7" t="s">
        <v>643</v>
      </c>
      <c r="H33" s="8"/>
      <c r="I33" s="22" t="s">
        <v>205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2</v>
      </c>
      <c r="F34" s="8" t="s">
        <v>644</v>
      </c>
      <c r="G34" s="7" t="s">
        <v>611</v>
      </c>
      <c r="H34" s="8"/>
      <c r="I34" s="22" t="s">
        <v>205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645</v>
      </c>
      <c r="G35" s="7" t="s">
        <v>628</v>
      </c>
      <c r="H35" s="8"/>
      <c r="I35" s="22" t="s">
        <v>205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2</v>
      </c>
      <c r="F36" s="8" t="s">
        <v>646</v>
      </c>
      <c r="G36" s="7" t="s">
        <v>611</v>
      </c>
      <c r="H36" s="8"/>
      <c r="I36" s="22" t="s">
        <v>205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2</v>
      </c>
      <c r="F37" s="8" t="s">
        <v>647</v>
      </c>
      <c r="G37" s="7" t="s">
        <v>628</v>
      </c>
      <c r="H37" s="8"/>
      <c r="I37" s="22" t="s">
        <v>205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1</v>
      </c>
      <c r="F38" s="8" t="s">
        <v>481</v>
      </c>
      <c r="G38" s="7" t="s">
        <v>42</v>
      </c>
      <c r="H38" s="8"/>
      <c r="I38" s="22" t="s">
        <v>205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1</v>
      </c>
      <c r="F39" s="8" t="s">
        <v>482</v>
      </c>
      <c r="G39" s="7" t="s">
        <v>42</v>
      </c>
      <c r="H39" s="8"/>
      <c r="I39" s="22" t="s">
        <v>205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1</v>
      </c>
      <c r="F40" s="8" t="s">
        <v>483</v>
      </c>
      <c r="G40" s="7" t="s">
        <v>42</v>
      </c>
      <c r="H40" s="8"/>
      <c r="I40" s="22" t="s">
        <v>205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1</v>
      </c>
      <c r="F41" s="8" t="s">
        <v>648</v>
      </c>
      <c r="G41" s="7" t="s">
        <v>42</v>
      </c>
      <c r="H41" s="8"/>
      <c r="I41" s="22" t="s">
        <v>205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1</v>
      </c>
      <c r="F42" s="8" t="s">
        <v>649</v>
      </c>
      <c r="G42" s="7" t="s">
        <v>42</v>
      </c>
      <c r="H42" s="8"/>
      <c r="I42" s="22" t="s">
        <v>205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650</v>
      </c>
      <c r="G43" s="7" t="s">
        <v>42</v>
      </c>
      <c r="H43" s="8"/>
      <c r="I43" s="22" t="s">
        <v>205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651</v>
      </c>
      <c r="G44" s="7" t="s">
        <v>42</v>
      </c>
      <c r="H44" s="8"/>
      <c r="I44" s="22" t="s">
        <v>205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2</v>
      </c>
      <c r="F45" s="8" t="s">
        <v>652</v>
      </c>
      <c r="G45" s="7" t="s">
        <v>628</v>
      </c>
      <c r="H45" s="8"/>
      <c r="I45" s="22" t="s">
        <v>205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2</v>
      </c>
      <c r="F46" s="8" t="s">
        <v>653</v>
      </c>
      <c r="G46" s="7" t="s">
        <v>643</v>
      </c>
      <c r="H46" s="8"/>
      <c r="I46" s="22" t="s">
        <v>205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1</v>
      </c>
      <c r="F47" s="8" t="s">
        <v>654</v>
      </c>
      <c r="G47" s="7" t="s">
        <v>42</v>
      </c>
      <c r="H47" s="8"/>
      <c r="I47" s="22" t="s">
        <v>205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2</v>
      </c>
      <c r="F48" s="8" t="s">
        <v>655</v>
      </c>
      <c r="G48" s="7" t="s">
        <v>611</v>
      </c>
      <c r="H48" s="8"/>
      <c r="I48" s="22" t="s">
        <v>205</v>
      </c>
    </row>
    <row r="50" spans="1:9" ht="15.75" customHeight="1" x14ac:dyDescent="0.2">
      <c r="A50" s="11" t="s">
        <v>187</v>
      </c>
    </row>
    <row r="51" spans="1:9" ht="15.75" customHeight="1" x14ac:dyDescent="0.2">
      <c r="A51" s="12" t="s">
        <v>188</v>
      </c>
      <c r="B51" s="13">
        <f>IFERROR(AVERAGE(E4,E5,E6,E7,E8,E9,E10,E11,E12,E13,E14,E15,E16,E17,E18),"")</f>
        <v>1.2666666666666666</v>
      </c>
      <c r="I51" s="22" t="s">
        <v>205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2.7333333333333334</v>
      </c>
      <c r="I52" s="22" t="s">
        <v>205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1.4666666666666666</v>
      </c>
      <c r="I53" s="22" t="s">
        <v>205</v>
      </c>
    </row>
    <row r="54" spans="1:9" ht="15.75" customHeight="1" x14ac:dyDescent="0.2">
      <c r="A54" s="16" t="s">
        <v>191</v>
      </c>
      <c r="B54" s="17">
        <f>IFERROR(B52-B51,"")</f>
        <v>1.4666666666666668</v>
      </c>
      <c r="I54" s="22" t="s">
        <v>205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205</v>
      </c>
    </row>
    <row r="58" spans="1:9" ht="64.5" customHeight="1" x14ac:dyDescent="0.2">
      <c r="A58" s="6" t="s">
        <v>197</v>
      </c>
      <c r="B58" s="18">
        <f>IFERROR(AVERAGE(E4,E5,E6),"")</f>
        <v>1.6666666666666667</v>
      </c>
      <c r="C58" s="18">
        <f>IFERROR(AVERAGE(E19,E20,E21),"")</f>
        <v>3</v>
      </c>
      <c r="D58" s="19">
        <f>IFERROR(C58-B58,"")</f>
        <v>1.3333333333333333</v>
      </c>
      <c r="E58" s="18">
        <f>IFERROR(AVERAGE(E34,E35,E36),"")</f>
        <v>2</v>
      </c>
      <c r="I58" s="22" t="s">
        <v>205</v>
      </c>
    </row>
    <row r="59" spans="1:9" ht="39" customHeight="1" x14ac:dyDescent="0.2">
      <c r="A59" s="6" t="s">
        <v>198</v>
      </c>
      <c r="B59" s="18">
        <f>IFERROR(AVERAGE(E7,E8,E9),"")</f>
        <v>1.3333333333333333</v>
      </c>
      <c r="C59" s="18">
        <f>IFERROR(AVERAGE(E22,E23,E24),"")</f>
        <v>2.3333333333333335</v>
      </c>
      <c r="D59" s="19">
        <f>IFERROR(C59-B59,"")</f>
        <v>1.0000000000000002</v>
      </c>
      <c r="E59" s="18">
        <f>IFERROR(AVERAGE(E37,E38,E39),"")</f>
        <v>1.3333333333333333</v>
      </c>
      <c r="I59" s="22" t="s">
        <v>205</v>
      </c>
    </row>
    <row r="60" spans="1:9" ht="64.5" customHeight="1" x14ac:dyDescent="0.2">
      <c r="A60" s="6" t="s">
        <v>199</v>
      </c>
      <c r="B60" s="18">
        <f>IFERROR(AVERAGE(E16,E17,E18),"")</f>
        <v>1</v>
      </c>
      <c r="C60" s="18">
        <f>IFERROR(AVERAGE(E31,E32,E33),"")</f>
        <v>2.6666666666666665</v>
      </c>
      <c r="D60" s="19">
        <f>IFERROR(C60-B60,"")</f>
        <v>1.6666666666666665</v>
      </c>
      <c r="E60" s="18">
        <f>IFERROR(AVERAGE(E46,E47,E48),"")</f>
        <v>1.6666666666666667</v>
      </c>
      <c r="I60" s="22" t="s">
        <v>205</v>
      </c>
    </row>
    <row r="62" spans="1:9" ht="25.5" customHeight="1" x14ac:dyDescent="0.2">
      <c r="A62" s="85"/>
      <c r="B62" s="86"/>
      <c r="C62" s="86"/>
      <c r="D62" s="86"/>
      <c r="E62" s="86"/>
      <c r="F62" s="86"/>
      <c r="G62" s="86"/>
      <c r="H62" s="86"/>
    </row>
    <row r="63" spans="1:9" ht="26" x14ac:dyDescent="0.2">
      <c r="A63" s="36" t="s">
        <v>44</v>
      </c>
      <c r="E63">
        <f>IFERROR(ROUND(AVERAGE(E40:E42),2),"")</f>
        <v>1</v>
      </c>
    </row>
    <row r="64" spans="1:9" ht="26" x14ac:dyDescent="0.2">
      <c r="A64" s="36" t="s">
        <v>909</v>
      </c>
      <c r="E64">
        <f>IFERROR(ROUND(AVERAGE(E43:E45),2),"")</f>
        <v>1.33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topLeftCell="A58" zoomScaleNormal="100" workbookViewId="0">
      <selection activeCell="A63" sqref="A63:A64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3"/>
      <c r="C1" s="84"/>
      <c r="D1" s="84"/>
      <c r="E1" s="1" t="s">
        <v>1</v>
      </c>
      <c r="F1" s="83"/>
      <c r="G1" s="84"/>
      <c r="H1" s="2" t="s">
        <v>892</v>
      </c>
      <c r="I1" s="20" t="s">
        <v>200</v>
      </c>
    </row>
    <row r="2" spans="1:9" ht="15.75" customHeight="1" x14ac:dyDescent="0.2">
      <c r="B2" t="s">
        <v>656</v>
      </c>
      <c r="F2" t="s">
        <v>609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3</v>
      </c>
      <c r="F4" s="8" t="s">
        <v>657</v>
      </c>
      <c r="G4" s="7" t="s">
        <v>495</v>
      </c>
      <c r="H4" s="8" t="s">
        <v>658</v>
      </c>
      <c r="I4" s="22" t="s">
        <v>205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3</v>
      </c>
      <c r="F5" s="8" t="s">
        <v>659</v>
      </c>
      <c r="G5" s="7" t="s">
        <v>495</v>
      </c>
      <c r="H5" s="8"/>
      <c r="I5" s="22" t="s">
        <v>205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3</v>
      </c>
      <c r="F6" s="8" t="s">
        <v>660</v>
      </c>
      <c r="G6" s="7" t="s">
        <v>495</v>
      </c>
      <c r="H6" s="8"/>
      <c r="I6" s="22" t="s">
        <v>205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661</v>
      </c>
      <c r="G7" s="7" t="s">
        <v>545</v>
      </c>
      <c r="H7" s="8"/>
      <c r="I7" s="22" t="s">
        <v>205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2</v>
      </c>
      <c r="F8" s="8" t="s">
        <v>662</v>
      </c>
      <c r="G8" s="7" t="s">
        <v>42</v>
      </c>
      <c r="H8" s="8"/>
      <c r="I8" s="22" t="s">
        <v>205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2</v>
      </c>
      <c r="F9" s="8" t="s">
        <v>616</v>
      </c>
      <c r="G9" s="7" t="s">
        <v>42</v>
      </c>
      <c r="H9" s="8"/>
      <c r="I9" s="22" t="s">
        <v>205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2</v>
      </c>
      <c r="F10" s="8" t="s">
        <v>663</v>
      </c>
      <c r="G10" s="7" t="s">
        <v>495</v>
      </c>
      <c r="H10" s="8"/>
      <c r="I10" s="22" t="s">
        <v>205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2</v>
      </c>
      <c r="F11" s="8" t="s">
        <v>664</v>
      </c>
      <c r="G11" s="7" t="s">
        <v>495</v>
      </c>
      <c r="H11" s="8"/>
      <c r="I11" s="22" t="s">
        <v>205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2</v>
      </c>
      <c r="F12" s="8" t="s">
        <v>665</v>
      </c>
      <c r="G12" s="7" t="s">
        <v>666</v>
      </c>
      <c r="H12" s="8"/>
      <c r="I12" s="22" t="s">
        <v>205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2</v>
      </c>
      <c r="F13" s="8" t="s">
        <v>509</v>
      </c>
      <c r="G13" s="7" t="s">
        <v>42</v>
      </c>
      <c r="H13" s="8"/>
      <c r="I13" s="22" t="s">
        <v>205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2</v>
      </c>
      <c r="F14" s="8" t="s">
        <v>510</v>
      </c>
      <c r="G14" s="7" t="s">
        <v>42</v>
      </c>
      <c r="H14" s="8"/>
      <c r="I14" s="22" t="s">
        <v>205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667</v>
      </c>
      <c r="G15" s="7" t="s">
        <v>495</v>
      </c>
      <c r="H15" s="8"/>
      <c r="I15" s="22" t="s">
        <v>205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2</v>
      </c>
      <c r="F16" s="8" t="s">
        <v>668</v>
      </c>
      <c r="G16" s="7" t="s">
        <v>495</v>
      </c>
      <c r="H16" s="8"/>
      <c r="I16" s="22" t="s">
        <v>205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669</v>
      </c>
      <c r="G17" s="7" t="s">
        <v>495</v>
      </c>
      <c r="H17" s="8"/>
      <c r="I17" s="22" t="s">
        <v>205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670</v>
      </c>
      <c r="G18" s="7" t="s">
        <v>671</v>
      </c>
      <c r="H18" s="8"/>
      <c r="I18" s="22" t="s">
        <v>205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3</v>
      </c>
      <c r="F19" s="8" t="s">
        <v>672</v>
      </c>
      <c r="G19" s="7" t="s">
        <v>495</v>
      </c>
      <c r="H19" s="8"/>
      <c r="I19" s="22" t="s">
        <v>205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3</v>
      </c>
      <c r="F20" s="8" t="s">
        <v>673</v>
      </c>
      <c r="G20" s="7" t="s">
        <v>545</v>
      </c>
      <c r="H20" s="8"/>
      <c r="I20" s="23" t="s">
        <v>586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3</v>
      </c>
      <c r="F21" s="8" t="s">
        <v>674</v>
      </c>
      <c r="G21" s="7" t="s">
        <v>671</v>
      </c>
      <c r="H21" s="8"/>
      <c r="I21" s="22" t="s">
        <v>205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3</v>
      </c>
      <c r="F22" s="8" t="s">
        <v>675</v>
      </c>
      <c r="G22" s="7" t="s">
        <v>534</v>
      </c>
      <c r="H22" s="8"/>
      <c r="I22" s="22" t="s">
        <v>205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1</v>
      </c>
      <c r="F23" s="8" t="s">
        <v>463</v>
      </c>
      <c r="G23" s="7" t="s">
        <v>42</v>
      </c>
      <c r="H23" s="8"/>
      <c r="I23" s="22" t="s">
        <v>205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676</v>
      </c>
      <c r="G24" s="7" t="s">
        <v>545</v>
      </c>
      <c r="H24" s="8"/>
      <c r="I24" s="22" t="s">
        <v>205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1</v>
      </c>
      <c r="F25" s="8" t="s">
        <v>466</v>
      </c>
      <c r="G25" s="7" t="s">
        <v>42</v>
      </c>
      <c r="H25" s="8"/>
      <c r="I25" s="22" t="s">
        <v>205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3</v>
      </c>
      <c r="F26" s="8" t="s">
        <v>677</v>
      </c>
      <c r="G26" s="7" t="s">
        <v>545</v>
      </c>
      <c r="H26" s="8"/>
      <c r="I26" s="22" t="s">
        <v>205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3</v>
      </c>
      <c r="F27" s="8" t="s">
        <v>678</v>
      </c>
      <c r="G27" s="7" t="s">
        <v>679</v>
      </c>
      <c r="H27" s="8"/>
      <c r="I27" s="22" t="s">
        <v>205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2</v>
      </c>
      <c r="F28" s="8" t="s">
        <v>680</v>
      </c>
      <c r="G28" s="7" t="s">
        <v>534</v>
      </c>
      <c r="H28" s="8"/>
      <c r="I28" s="22" t="s">
        <v>205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3</v>
      </c>
      <c r="F29" s="8" t="s">
        <v>681</v>
      </c>
      <c r="G29" s="7" t="s">
        <v>534</v>
      </c>
      <c r="H29" s="8"/>
      <c r="I29" s="22" t="s">
        <v>205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1</v>
      </c>
      <c r="F30" s="8" t="s">
        <v>473</v>
      </c>
      <c r="G30" s="7" t="s">
        <v>42</v>
      </c>
      <c r="H30" s="8"/>
      <c r="I30" s="22" t="s">
        <v>205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682</v>
      </c>
      <c r="G31" s="7" t="s">
        <v>495</v>
      </c>
      <c r="H31" s="8"/>
      <c r="I31" s="22" t="s">
        <v>205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2</v>
      </c>
      <c r="F32" s="8" t="s">
        <v>683</v>
      </c>
      <c r="G32" s="7" t="s">
        <v>684</v>
      </c>
      <c r="H32" s="8"/>
      <c r="I32" s="22" t="s">
        <v>205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3</v>
      </c>
      <c r="F33" s="8" t="s">
        <v>685</v>
      </c>
      <c r="G33" s="7" t="s">
        <v>671</v>
      </c>
      <c r="H33" s="8"/>
      <c r="I33" s="22" t="s">
        <v>205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2</v>
      </c>
      <c r="F34" s="8" t="s">
        <v>686</v>
      </c>
      <c r="G34" s="7" t="s">
        <v>495</v>
      </c>
      <c r="H34" s="8"/>
      <c r="I34" s="22" t="s">
        <v>205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687</v>
      </c>
      <c r="G35" s="7" t="s">
        <v>495</v>
      </c>
      <c r="H35" s="8"/>
      <c r="I35" s="22" t="s">
        <v>205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2</v>
      </c>
      <c r="F36" s="8" t="s">
        <v>688</v>
      </c>
      <c r="G36" s="7" t="s">
        <v>495</v>
      </c>
      <c r="H36" s="8"/>
      <c r="I36" s="22" t="s">
        <v>205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2</v>
      </c>
      <c r="F37" s="8" t="s">
        <v>689</v>
      </c>
      <c r="G37" s="7" t="s">
        <v>495</v>
      </c>
      <c r="H37" s="8"/>
      <c r="I37" s="22" t="s">
        <v>205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2</v>
      </c>
      <c r="F38" s="8" t="s">
        <v>481</v>
      </c>
      <c r="G38" s="7" t="s">
        <v>42</v>
      </c>
      <c r="H38" s="8"/>
      <c r="I38" s="22" t="s">
        <v>205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2</v>
      </c>
      <c r="F39" s="8" t="s">
        <v>690</v>
      </c>
      <c r="G39" s="7" t="s">
        <v>495</v>
      </c>
      <c r="H39" s="8"/>
      <c r="I39" s="22" t="s">
        <v>205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2</v>
      </c>
      <c r="F40" s="8" t="s">
        <v>483</v>
      </c>
      <c r="G40" s="7" t="s">
        <v>42</v>
      </c>
      <c r="H40" s="8"/>
      <c r="I40" s="22" t="s">
        <v>205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3</v>
      </c>
      <c r="F41" s="8" t="s">
        <v>691</v>
      </c>
      <c r="G41" s="7" t="s">
        <v>534</v>
      </c>
      <c r="H41" s="8"/>
      <c r="I41" s="22" t="s">
        <v>205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2</v>
      </c>
      <c r="F42" s="8" t="s">
        <v>692</v>
      </c>
      <c r="G42" s="7" t="s">
        <v>495</v>
      </c>
      <c r="H42" s="8"/>
      <c r="I42" s="22" t="s">
        <v>205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650</v>
      </c>
      <c r="G43" s="7" t="s">
        <v>42</v>
      </c>
      <c r="H43" s="8"/>
      <c r="I43" s="22" t="s">
        <v>205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651</v>
      </c>
      <c r="G44" s="7" t="s">
        <v>42</v>
      </c>
      <c r="H44" s="8"/>
      <c r="I44" s="22" t="s">
        <v>205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2</v>
      </c>
      <c r="F45" s="8" t="s">
        <v>693</v>
      </c>
      <c r="G45" s="7" t="s">
        <v>495</v>
      </c>
      <c r="H45" s="8"/>
      <c r="I45" s="22" t="s">
        <v>205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2</v>
      </c>
      <c r="F46" s="8" t="s">
        <v>694</v>
      </c>
      <c r="G46" s="7" t="s">
        <v>534</v>
      </c>
      <c r="H46" s="8"/>
      <c r="I46" s="22" t="s">
        <v>205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2</v>
      </c>
      <c r="F47" s="8" t="s">
        <v>695</v>
      </c>
      <c r="G47" s="7" t="s">
        <v>696</v>
      </c>
      <c r="H47" s="8"/>
      <c r="I47" s="22" t="s">
        <v>205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2</v>
      </c>
      <c r="F48" s="8" t="s">
        <v>697</v>
      </c>
      <c r="G48" s="7" t="s">
        <v>495</v>
      </c>
      <c r="H48" s="8"/>
      <c r="I48" s="22" t="s">
        <v>205</v>
      </c>
    </row>
    <row r="50" spans="1:9" ht="15.75" customHeight="1" x14ac:dyDescent="0.2">
      <c r="A50" s="11" t="s">
        <v>187</v>
      </c>
    </row>
    <row r="51" spans="1:9" ht="15.75" customHeight="1" x14ac:dyDescent="0.2">
      <c r="A51" s="12" t="s">
        <v>188</v>
      </c>
      <c r="B51" s="13">
        <f>IFERROR(AVERAGE(E4,E5,E6,E7,E8,E9,E10,E11,E12,E13,E14,E15,E16,E17,E18),"")</f>
        <v>2.3333333333333335</v>
      </c>
      <c r="I51" s="22" t="s">
        <v>205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2.4666666666666668</v>
      </c>
      <c r="I52" s="22" t="s">
        <v>205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1.9333333333333333</v>
      </c>
      <c r="I53" s="22" t="s">
        <v>205</v>
      </c>
    </row>
    <row r="54" spans="1:9" ht="15.75" customHeight="1" x14ac:dyDescent="0.2">
      <c r="A54" s="16" t="s">
        <v>191</v>
      </c>
      <c r="B54" s="17">
        <f>IFERROR(B52-B51,"")</f>
        <v>0.1333333333333333</v>
      </c>
      <c r="I54" s="22" t="s">
        <v>205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205</v>
      </c>
    </row>
    <row r="58" spans="1:9" ht="64.5" customHeight="1" x14ac:dyDescent="0.2">
      <c r="A58" s="6" t="s">
        <v>197</v>
      </c>
      <c r="B58" s="18">
        <f>IFERROR(AVERAGE(E4,E5,E6),"")</f>
        <v>3</v>
      </c>
      <c r="C58" s="18">
        <f>IFERROR(AVERAGE(E19,E20,E21),"")</f>
        <v>3</v>
      </c>
      <c r="D58" s="19">
        <f>IFERROR(C58-B58,"")</f>
        <v>0</v>
      </c>
      <c r="E58" s="18">
        <f>IFERROR(AVERAGE(E34,E35,E36),"")</f>
        <v>2</v>
      </c>
      <c r="I58" s="22" t="s">
        <v>205</v>
      </c>
    </row>
    <row r="59" spans="1:9" ht="39" customHeight="1" x14ac:dyDescent="0.2">
      <c r="A59" s="6" t="s">
        <v>198</v>
      </c>
      <c r="B59" s="18">
        <f>IFERROR(AVERAGE(E7,E8,E9),"")</f>
        <v>2.3333333333333335</v>
      </c>
      <c r="C59" s="18">
        <f>IFERROR(AVERAGE(E22,E23,E24),"")</f>
        <v>2.3333333333333335</v>
      </c>
      <c r="D59" s="19">
        <f>IFERROR(C59-B59,"")</f>
        <v>0</v>
      </c>
      <c r="E59" s="18">
        <f>IFERROR(AVERAGE(E37,E38,E39),"")</f>
        <v>2</v>
      </c>
      <c r="I59" s="22" t="s">
        <v>205</v>
      </c>
    </row>
    <row r="60" spans="1:9" ht="64.5" customHeight="1" x14ac:dyDescent="0.2">
      <c r="A60" s="6" t="s">
        <v>199</v>
      </c>
      <c r="B60" s="18">
        <f>IFERROR(AVERAGE(E16,E17,E18),"")</f>
        <v>2.3333333333333335</v>
      </c>
      <c r="C60" s="18">
        <f>IFERROR(AVERAGE(E31,E32,E33),"")</f>
        <v>2.6666666666666665</v>
      </c>
      <c r="D60" s="19">
        <f>IFERROR(C60-B60,"")</f>
        <v>0.33333333333333304</v>
      </c>
      <c r="E60" s="18">
        <f>IFERROR(AVERAGE(E46,E47,E48),"")</f>
        <v>2</v>
      </c>
      <c r="I60" s="22" t="s">
        <v>205</v>
      </c>
    </row>
    <row r="62" spans="1:9" ht="25.5" customHeight="1" x14ac:dyDescent="0.2">
      <c r="A62" s="85"/>
      <c r="B62" s="86"/>
      <c r="C62" s="86"/>
      <c r="D62" s="86"/>
      <c r="E62" s="86"/>
      <c r="F62" s="86"/>
      <c r="G62" s="86"/>
      <c r="H62" s="86"/>
    </row>
    <row r="63" spans="1:9" ht="26" x14ac:dyDescent="0.2">
      <c r="A63" s="36" t="s">
        <v>44</v>
      </c>
      <c r="E63">
        <f>IFERROR(ROUND(AVERAGE(E40:E42),2),"")</f>
        <v>2.33</v>
      </c>
    </row>
    <row r="64" spans="1:9" ht="26" x14ac:dyDescent="0.2">
      <c r="A64" s="36" t="s">
        <v>909</v>
      </c>
      <c r="E64">
        <f>IFERROR(ROUND(AVERAGE(E43:E45),2),"")</f>
        <v>1.33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topLeftCell="A59" zoomScaleNormal="100" workbookViewId="0">
      <selection activeCell="A63" sqref="A63:A64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3"/>
      <c r="C1" s="84"/>
      <c r="D1" s="84"/>
      <c r="E1" s="1" t="s">
        <v>1</v>
      </c>
      <c r="F1" s="83"/>
      <c r="G1" s="84"/>
      <c r="H1" s="2" t="s">
        <v>892</v>
      </c>
      <c r="I1" s="20" t="s">
        <v>200</v>
      </c>
    </row>
    <row r="2" spans="1:9" ht="15.75" customHeight="1" x14ac:dyDescent="0.2">
      <c r="B2" t="s">
        <v>698</v>
      </c>
      <c r="F2" t="s">
        <v>609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4</v>
      </c>
      <c r="F4" s="8" t="s">
        <v>699</v>
      </c>
      <c r="G4" s="7" t="s">
        <v>700</v>
      </c>
      <c r="H4" s="8" t="s">
        <v>701</v>
      </c>
      <c r="I4" s="22" t="s">
        <v>205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4</v>
      </c>
      <c r="F5" s="8" t="s">
        <v>702</v>
      </c>
      <c r="G5" s="7" t="s">
        <v>700</v>
      </c>
      <c r="H5" s="8"/>
      <c r="I5" s="22" t="s">
        <v>205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3</v>
      </c>
      <c r="F6" s="8" t="s">
        <v>703</v>
      </c>
      <c r="G6" s="7" t="s">
        <v>704</v>
      </c>
      <c r="H6" s="8"/>
      <c r="I6" s="22" t="s">
        <v>205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705</v>
      </c>
      <c r="G7" s="7" t="s">
        <v>700</v>
      </c>
      <c r="H7" s="8"/>
      <c r="I7" s="22" t="s">
        <v>205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2</v>
      </c>
      <c r="F8" s="8" t="s">
        <v>662</v>
      </c>
      <c r="G8" s="7" t="s">
        <v>42</v>
      </c>
      <c r="H8" s="8"/>
      <c r="I8" s="23" t="s">
        <v>586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2</v>
      </c>
      <c r="F9" s="8" t="s">
        <v>616</v>
      </c>
      <c r="G9" s="7" t="s">
        <v>42</v>
      </c>
      <c r="H9" s="8"/>
      <c r="I9" s="22" t="s">
        <v>205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3</v>
      </c>
      <c r="F10" s="8" t="s">
        <v>706</v>
      </c>
      <c r="G10" s="7" t="s">
        <v>700</v>
      </c>
      <c r="H10" s="8"/>
      <c r="I10" s="22" t="s">
        <v>205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3</v>
      </c>
      <c r="F11" s="8" t="s">
        <v>707</v>
      </c>
      <c r="G11" s="7" t="s">
        <v>704</v>
      </c>
      <c r="H11" s="8"/>
      <c r="I11" s="22" t="s">
        <v>205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2</v>
      </c>
      <c r="F12" s="8" t="s">
        <v>665</v>
      </c>
      <c r="G12" s="7" t="s">
        <v>410</v>
      </c>
      <c r="H12" s="8"/>
      <c r="I12" s="22" t="s">
        <v>205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3</v>
      </c>
      <c r="F13" s="8" t="s">
        <v>708</v>
      </c>
      <c r="G13" s="7" t="s">
        <v>704</v>
      </c>
      <c r="H13" s="8"/>
      <c r="I13" s="22" t="s">
        <v>205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2</v>
      </c>
      <c r="F14" s="8" t="s">
        <v>709</v>
      </c>
      <c r="G14" s="7" t="s">
        <v>704</v>
      </c>
      <c r="H14" s="8"/>
      <c r="I14" s="22" t="s">
        <v>205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3</v>
      </c>
      <c r="F15" s="8" t="s">
        <v>710</v>
      </c>
      <c r="G15" s="7" t="s">
        <v>362</v>
      </c>
      <c r="H15" s="8"/>
      <c r="I15" s="22" t="s">
        <v>205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711</v>
      </c>
      <c r="G16" s="7" t="s">
        <v>700</v>
      </c>
      <c r="H16" s="8"/>
      <c r="I16" s="22" t="s">
        <v>205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712</v>
      </c>
      <c r="G17" s="7" t="s">
        <v>704</v>
      </c>
      <c r="H17" s="8"/>
      <c r="I17" s="22" t="s">
        <v>205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713</v>
      </c>
      <c r="G18" s="7" t="s">
        <v>714</v>
      </c>
      <c r="H18" s="8"/>
      <c r="I18" s="22" t="s">
        <v>205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4</v>
      </c>
      <c r="F19" s="8" t="s">
        <v>715</v>
      </c>
      <c r="G19" s="7" t="s">
        <v>362</v>
      </c>
      <c r="H19" s="8" t="s">
        <v>716</v>
      </c>
      <c r="I19" s="22" t="s">
        <v>205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4</v>
      </c>
      <c r="F20" s="8" t="s">
        <v>717</v>
      </c>
      <c r="G20" s="7" t="s">
        <v>718</v>
      </c>
      <c r="H20" s="8"/>
      <c r="I20" s="22" t="s">
        <v>205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719</v>
      </c>
      <c r="G21" s="7" t="s">
        <v>720</v>
      </c>
      <c r="H21" s="8"/>
      <c r="I21" s="22" t="s">
        <v>205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4</v>
      </c>
      <c r="F22" s="8" t="s">
        <v>721</v>
      </c>
      <c r="G22" s="7" t="s">
        <v>722</v>
      </c>
      <c r="H22" s="8"/>
      <c r="I22" s="22" t="s">
        <v>205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2</v>
      </c>
      <c r="F23" s="8" t="s">
        <v>723</v>
      </c>
      <c r="G23" s="7" t="s">
        <v>42</v>
      </c>
      <c r="H23" s="8"/>
      <c r="I23" s="22" t="s">
        <v>205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4</v>
      </c>
      <c r="F24" s="8" t="s">
        <v>724</v>
      </c>
      <c r="G24" s="7" t="s">
        <v>362</v>
      </c>
      <c r="H24" s="8"/>
      <c r="I24" s="22" t="s">
        <v>205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2</v>
      </c>
      <c r="F25" s="8" t="s">
        <v>580</v>
      </c>
      <c r="G25" s="7" t="s">
        <v>42</v>
      </c>
      <c r="H25" s="8"/>
      <c r="I25" s="22" t="s">
        <v>205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3</v>
      </c>
      <c r="F26" s="8" t="s">
        <v>725</v>
      </c>
      <c r="G26" s="7" t="s">
        <v>362</v>
      </c>
      <c r="H26" s="8"/>
      <c r="I26" s="22" t="s">
        <v>205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726</v>
      </c>
      <c r="G27" s="7" t="s">
        <v>704</v>
      </c>
      <c r="H27" s="8"/>
      <c r="I27" s="22" t="s">
        <v>205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3</v>
      </c>
      <c r="F28" s="8" t="s">
        <v>727</v>
      </c>
      <c r="G28" s="7" t="s">
        <v>362</v>
      </c>
      <c r="H28" s="8"/>
      <c r="I28" s="22" t="s">
        <v>205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3</v>
      </c>
      <c r="F29" s="8" t="s">
        <v>728</v>
      </c>
      <c r="G29" s="7" t="s">
        <v>729</v>
      </c>
      <c r="H29" s="8"/>
      <c r="I29" s="22" t="s">
        <v>205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2</v>
      </c>
      <c r="F30" s="8" t="s">
        <v>730</v>
      </c>
      <c r="G30" s="7" t="s">
        <v>704</v>
      </c>
      <c r="H30" s="8"/>
      <c r="I30" s="23" t="s">
        <v>586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4</v>
      </c>
      <c r="F31" s="8" t="s">
        <v>731</v>
      </c>
      <c r="G31" s="7" t="s">
        <v>718</v>
      </c>
      <c r="H31" s="8"/>
      <c r="I31" s="22" t="s">
        <v>205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2</v>
      </c>
      <c r="F32" s="8" t="s">
        <v>732</v>
      </c>
      <c r="G32" s="7" t="s">
        <v>42</v>
      </c>
      <c r="H32" s="8"/>
      <c r="I32" s="22" t="s">
        <v>205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4</v>
      </c>
      <c r="F33" s="8" t="s">
        <v>733</v>
      </c>
      <c r="G33" s="7" t="s">
        <v>734</v>
      </c>
      <c r="H33" s="8"/>
      <c r="I33" s="22" t="s">
        <v>205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3</v>
      </c>
      <c r="F34" s="8" t="s">
        <v>735</v>
      </c>
      <c r="G34" s="7" t="s">
        <v>734</v>
      </c>
      <c r="H34" s="8" t="s">
        <v>736</v>
      </c>
      <c r="I34" s="22" t="s">
        <v>205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737</v>
      </c>
      <c r="G35" s="7" t="s">
        <v>718</v>
      </c>
      <c r="H35" s="8"/>
      <c r="I35" s="22" t="s">
        <v>205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3</v>
      </c>
      <c r="F36" s="8" t="s">
        <v>738</v>
      </c>
      <c r="G36" s="7" t="s">
        <v>734</v>
      </c>
      <c r="H36" s="8"/>
      <c r="I36" s="22" t="s">
        <v>205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739</v>
      </c>
      <c r="G37" s="7" t="s">
        <v>700</v>
      </c>
      <c r="H37" s="8"/>
      <c r="I37" s="22" t="s">
        <v>205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2</v>
      </c>
      <c r="F38" s="8" t="s">
        <v>481</v>
      </c>
      <c r="G38" s="7" t="s">
        <v>42</v>
      </c>
      <c r="H38" s="8"/>
      <c r="I38" s="22" t="s">
        <v>205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2</v>
      </c>
      <c r="F39" s="8" t="s">
        <v>740</v>
      </c>
      <c r="G39" s="7" t="s">
        <v>700</v>
      </c>
      <c r="H39" s="8"/>
      <c r="I39" s="22" t="s">
        <v>205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2</v>
      </c>
      <c r="F40" s="8" t="s">
        <v>741</v>
      </c>
      <c r="G40" s="7" t="s">
        <v>42</v>
      </c>
      <c r="H40" s="8"/>
      <c r="I40" s="22" t="s">
        <v>205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2</v>
      </c>
      <c r="F41" s="8" t="s">
        <v>742</v>
      </c>
      <c r="G41" s="7" t="s">
        <v>42</v>
      </c>
      <c r="H41" s="8"/>
      <c r="I41" s="22" t="s">
        <v>205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2</v>
      </c>
      <c r="F42" s="8" t="s">
        <v>743</v>
      </c>
      <c r="G42" s="7" t="s">
        <v>362</v>
      </c>
      <c r="H42" s="8"/>
      <c r="I42" s="22" t="s">
        <v>205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650</v>
      </c>
      <c r="G43" s="7" t="s">
        <v>42</v>
      </c>
      <c r="H43" s="8"/>
      <c r="I43" s="22" t="s">
        <v>205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651</v>
      </c>
      <c r="G44" s="7" t="s">
        <v>42</v>
      </c>
      <c r="H44" s="8"/>
      <c r="I44" s="22" t="s">
        <v>205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3</v>
      </c>
      <c r="F45" s="8" t="s">
        <v>744</v>
      </c>
      <c r="G45" s="7" t="s">
        <v>362</v>
      </c>
      <c r="H45" s="8"/>
      <c r="I45" s="22" t="s">
        <v>205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3</v>
      </c>
      <c r="F46" s="8" t="s">
        <v>745</v>
      </c>
      <c r="G46" s="7" t="s">
        <v>734</v>
      </c>
      <c r="H46" s="8"/>
      <c r="I46" s="22" t="s">
        <v>205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3</v>
      </c>
      <c r="F47" s="8" t="s">
        <v>746</v>
      </c>
      <c r="G47" s="7" t="s">
        <v>747</v>
      </c>
      <c r="H47" s="8"/>
      <c r="I47" s="22" t="s">
        <v>205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2</v>
      </c>
      <c r="F48" s="8" t="s">
        <v>748</v>
      </c>
      <c r="G48" s="7" t="s">
        <v>714</v>
      </c>
      <c r="H48" s="8"/>
      <c r="I48" s="22" t="s">
        <v>205</v>
      </c>
    </row>
    <row r="50" spans="1:9" ht="15.75" customHeight="1" x14ac:dyDescent="0.2">
      <c r="A50" s="11" t="s">
        <v>187</v>
      </c>
    </row>
    <row r="51" spans="1:9" ht="15.75" customHeight="1" x14ac:dyDescent="0.2">
      <c r="A51" s="12" t="s">
        <v>188</v>
      </c>
      <c r="B51" s="13">
        <f>IFERROR(AVERAGE(E4,E5,E6,E7,E8,E9,E10,E11,E12,E13,E14,E15,E16,E17,E18),"")</f>
        <v>2.8</v>
      </c>
      <c r="I51" s="22" t="s">
        <v>205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3.2666666666666666</v>
      </c>
      <c r="I52" s="22" t="s">
        <v>205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2.2666666666666666</v>
      </c>
      <c r="I53" s="22" t="s">
        <v>205</v>
      </c>
    </row>
    <row r="54" spans="1:9" ht="15.75" customHeight="1" x14ac:dyDescent="0.2">
      <c r="A54" s="16" t="s">
        <v>191</v>
      </c>
      <c r="B54" s="17">
        <f>IFERROR(B52-B51,"")</f>
        <v>0.46666666666666679</v>
      </c>
      <c r="I54" s="22" t="s">
        <v>205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205</v>
      </c>
    </row>
    <row r="58" spans="1:9" ht="64.5" customHeight="1" x14ac:dyDescent="0.2">
      <c r="A58" s="6" t="s">
        <v>197</v>
      </c>
      <c r="B58" s="18">
        <f>IFERROR(AVERAGE(E4,E5,E6),"")</f>
        <v>3.6666666666666665</v>
      </c>
      <c r="C58" s="18">
        <f>IFERROR(AVERAGE(E19,E20,E21),"")</f>
        <v>4</v>
      </c>
      <c r="D58" s="19">
        <f>IFERROR(C58-B58,"")</f>
        <v>0.33333333333333348</v>
      </c>
      <c r="E58" s="18">
        <f>IFERROR(AVERAGE(E34,E35,E36),"")</f>
        <v>2.6666666666666665</v>
      </c>
      <c r="I58" s="22" t="s">
        <v>205</v>
      </c>
    </row>
    <row r="59" spans="1:9" ht="39" customHeight="1" x14ac:dyDescent="0.2">
      <c r="A59" s="6" t="s">
        <v>198</v>
      </c>
      <c r="B59" s="18">
        <f>IFERROR(AVERAGE(E7,E8,E9),"")</f>
        <v>2.3333333333333335</v>
      </c>
      <c r="C59" s="18">
        <f>IFERROR(AVERAGE(E22,E23,E24),"")</f>
        <v>3.3333333333333335</v>
      </c>
      <c r="D59" s="19">
        <f>IFERROR(C59-B59,"")</f>
        <v>1</v>
      </c>
      <c r="E59" s="18">
        <f>IFERROR(AVERAGE(E37,E38,E39),"")</f>
        <v>2.3333333333333335</v>
      </c>
      <c r="I59" s="22" t="s">
        <v>205</v>
      </c>
    </row>
    <row r="60" spans="1:9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3.3333333333333335</v>
      </c>
      <c r="D60" s="19">
        <f>IFERROR(C60-B60,"")</f>
        <v>0.66666666666666696</v>
      </c>
      <c r="E60" s="18">
        <f>IFERROR(AVERAGE(E46,E47,E48),"")</f>
        <v>2.6666666666666665</v>
      </c>
      <c r="I60" s="22" t="s">
        <v>205</v>
      </c>
    </row>
    <row r="62" spans="1:9" ht="25.5" customHeight="1" x14ac:dyDescent="0.2">
      <c r="A62" s="85"/>
      <c r="B62" s="86"/>
      <c r="C62" s="86"/>
      <c r="D62" s="86"/>
      <c r="E62" s="86"/>
      <c r="F62" s="86"/>
      <c r="G62" s="86"/>
      <c r="H62" s="86"/>
    </row>
    <row r="63" spans="1:9" ht="26" x14ac:dyDescent="0.2">
      <c r="A63" s="36" t="s">
        <v>44</v>
      </c>
      <c r="E63">
        <f>IFERROR(ROUND(AVERAGE(E40:E42),2),"")</f>
        <v>2</v>
      </c>
    </row>
    <row r="64" spans="1:9" ht="26" x14ac:dyDescent="0.2">
      <c r="A64" s="36" t="s">
        <v>909</v>
      </c>
      <c r="E64">
        <f>IFERROR(ROUND(AVERAGE(E43:E45),2),"")</f>
        <v>1.67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topLeftCell="A57" zoomScale="150" zoomScaleNormal="100" workbookViewId="0">
      <selection activeCell="A63" sqref="A63:A64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3"/>
      <c r="C1" s="84"/>
      <c r="D1" s="84"/>
      <c r="E1" s="1" t="s">
        <v>1</v>
      </c>
      <c r="F1" s="83"/>
      <c r="G1" s="84"/>
      <c r="H1" s="2" t="s">
        <v>892</v>
      </c>
      <c r="I1" s="20" t="s">
        <v>200</v>
      </c>
    </row>
    <row r="2" spans="1:9" ht="15.75" customHeight="1" x14ac:dyDescent="0.2">
      <c r="B2" t="s">
        <v>749</v>
      </c>
      <c r="F2" t="s">
        <v>4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2</v>
      </c>
      <c r="F4" s="8" t="s">
        <v>750</v>
      </c>
      <c r="G4" s="7" t="s">
        <v>751</v>
      </c>
      <c r="H4" s="8"/>
      <c r="I4" s="23" t="s">
        <v>586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2</v>
      </c>
      <c r="F5" s="8" t="s">
        <v>752</v>
      </c>
      <c r="G5" s="7" t="s">
        <v>66</v>
      </c>
      <c r="H5" s="8"/>
      <c r="I5" s="22" t="s">
        <v>205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2</v>
      </c>
      <c r="F6" s="8" t="s">
        <v>753</v>
      </c>
      <c r="G6" s="7" t="s">
        <v>754</v>
      </c>
      <c r="H6" s="8"/>
      <c r="I6" s="22" t="s">
        <v>205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755</v>
      </c>
      <c r="G7" s="7" t="s">
        <v>66</v>
      </c>
      <c r="H7" s="8"/>
      <c r="I7" s="22" t="s">
        <v>205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4</v>
      </c>
      <c r="F8" s="8" t="s">
        <v>756</v>
      </c>
      <c r="G8" s="7" t="s">
        <v>757</v>
      </c>
      <c r="H8" s="8" t="s">
        <v>758</v>
      </c>
      <c r="I8" s="22" t="s">
        <v>205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4</v>
      </c>
      <c r="F9" s="8" t="s">
        <v>759</v>
      </c>
      <c r="G9" s="7" t="s">
        <v>757</v>
      </c>
      <c r="H9" s="8"/>
      <c r="I9" s="22" t="s">
        <v>205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3</v>
      </c>
      <c r="F10" s="8" t="s">
        <v>760</v>
      </c>
      <c r="G10" s="7" t="s">
        <v>757</v>
      </c>
      <c r="H10" s="8"/>
      <c r="I10" s="22" t="s">
        <v>205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2</v>
      </c>
      <c r="F11" s="8" t="s">
        <v>761</v>
      </c>
      <c r="G11" s="7" t="s">
        <v>762</v>
      </c>
      <c r="H11" s="8"/>
      <c r="I11" s="22" t="s">
        <v>205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1</v>
      </c>
      <c r="F12" s="8" t="s">
        <v>763</v>
      </c>
      <c r="G12" s="7" t="s">
        <v>42</v>
      </c>
      <c r="H12" s="8"/>
      <c r="I12" s="22" t="s">
        <v>205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1</v>
      </c>
      <c r="F13" s="8" t="s">
        <v>764</v>
      </c>
      <c r="G13" s="7" t="s">
        <v>42</v>
      </c>
      <c r="H13" s="8"/>
      <c r="I13" s="22" t="s">
        <v>205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1</v>
      </c>
      <c r="F14" s="8" t="s">
        <v>765</v>
      </c>
      <c r="G14" s="7" t="s">
        <v>42</v>
      </c>
      <c r="H14" s="8"/>
      <c r="I14" s="22" t="s">
        <v>205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766</v>
      </c>
      <c r="G15" s="7" t="s">
        <v>767</v>
      </c>
      <c r="H15" s="8"/>
      <c r="I15" s="22" t="s">
        <v>205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768</v>
      </c>
      <c r="G16" s="7" t="s">
        <v>757</v>
      </c>
      <c r="H16" s="8"/>
      <c r="I16" s="22" t="s">
        <v>205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769</v>
      </c>
      <c r="G17" s="7" t="s">
        <v>757</v>
      </c>
      <c r="H17" s="8"/>
      <c r="I17" s="22" t="s">
        <v>205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770</v>
      </c>
      <c r="G18" s="7" t="s">
        <v>771</v>
      </c>
      <c r="H18" s="8"/>
      <c r="I18" s="22" t="s">
        <v>205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3</v>
      </c>
      <c r="F19" s="8" t="s">
        <v>772</v>
      </c>
      <c r="G19" s="7" t="s">
        <v>757</v>
      </c>
      <c r="H19" s="8" t="s">
        <v>773</v>
      </c>
      <c r="I19" s="22" t="s">
        <v>205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4</v>
      </c>
      <c r="F20" s="8" t="s">
        <v>774</v>
      </c>
      <c r="G20" s="7" t="s">
        <v>66</v>
      </c>
      <c r="H20" s="8"/>
      <c r="I20" s="22" t="s">
        <v>205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775</v>
      </c>
      <c r="G21" s="7" t="s">
        <v>34</v>
      </c>
      <c r="H21" s="8"/>
      <c r="I21" s="22" t="s">
        <v>205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3</v>
      </c>
      <c r="F22" s="8" t="s">
        <v>776</v>
      </c>
      <c r="G22" s="7" t="s">
        <v>66</v>
      </c>
      <c r="H22" s="8"/>
      <c r="I22" s="22" t="s">
        <v>205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2</v>
      </c>
      <c r="F23" s="8" t="s">
        <v>96</v>
      </c>
      <c r="G23" s="7" t="s">
        <v>42</v>
      </c>
      <c r="H23" s="8"/>
      <c r="I23" s="22" t="s">
        <v>205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777</v>
      </c>
      <c r="G24" s="7" t="s">
        <v>778</v>
      </c>
      <c r="H24" s="8"/>
      <c r="I24" s="22" t="s">
        <v>205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2</v>
      </c>
      <c r="F25" s="8" t="s">
        <v>779</v>
      </c>
      <c r="G25" s="7" t="s">
        <v>757</v>
      </c>
      <c r="H25" s="8"/>
      <c r="I25" s="22" t="s">
        <v>205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3</v>
      </c>
      <c r="F26" s="8" t="s">
        <v>780</v>
      </c>
      <c r="G26" s="7" t="s">
        <v>757</v>
      </c>
      <c r="H26" s="8"/>
      <c r="I26" s="22" t="s">
        <v>205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781</v>
      </c>
      <c r="G27" s="7" t="s">
        <v>782</v>
      </c>
      <c r="H27" s="8"/>
      <c r="I27" s="22" t="s">
        <v>205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3</v>
      </c>
      <c r="F28" s="8" t="s">
        <v>783</v>
      </c>
      <c r="G28" s="7" t="s">
        <v>757</v>
      </c>
      <c r="H28" s="8"/>
      <c r="I28" s="22" t="s">
        <v>205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3</v>
      </c>
      <c r="F29" s="8" t="s">
        <v>784</v>
      </c>
      <c r="G29" s="7" t="s">
        <v>782</v>
      </c>
      <c r="H29" s="8"/>
      <c r="I29" s="22" t="s">
        <v>205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2</v>
      </c>
      <c r="F30" s="8" t="s">
        <v>785</v>
      </c>
      <c r="G30" s="7" t="s">
        <v>757</v>
      </c>
      <c r="H30" s="8"/>
      <c r="I30" s="23" t="s">
        <v>586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786</v>
      </c>
      <c r="G31" s="7" t="s">
        <v>34</v>
      </c>
      <c r="H31" s="8"/>
      <c r="I31" s="22" t="s">
        <v>205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2</v>
      </c>
      <c r="F32" s="8" t="s">
        <v>787</v>
      </c>
      <c r="G32" s="7" t="s">
        <v>442</v>
      </c>
      <c r="H32" s="8"/>
      <c r="I32" s="22" t="s">
        <v>205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3</v>
      </c>
      <c r="F33" s="8" t="s">
        <v>788</v>
      </c>
      <c r="G33" s="7" t="s">
        <v>771</v>
      </c>
      <c r="H33" s="8"/>
      <c r="I33" s="22" t="s">
        <v>205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2</v>
      </c>
      <c r="F34" s="8" t="s">
        <v>789</v>
      </c>
      <c r="G34" s="7" t="s">
        <v>34</v>
      </c>
      <c r="H34" s="8"/>
      <c r="I34" s="22" t="s">
        <v>205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790</v>
      </c>
      <c r="G35" s="7" t="s">
        <v>66</v>
      </c>
      <c r="H35" s="8"/>
      <c r="I35" s="22" t="s">
        <v>205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3</v>
      </c>
      <c r="F36" s="8" t="s">
        <v>791</v>
      </c>
      <c r="G36" s="7" t="s">
        <v>792</v>
      </c>
      <c r="H36" s="8"/>
      <c r="I36" s="22" t="s">
        <v>205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793</v>
      </c>
      <c r="G37" s="7" t="s">
        <v>66</v>
      </c>
      <c r="H37" s="8"/>
      <c r="I37" s="22" t="s">
        <v>205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3</v>
      </c>
      <c r="F38" s="8" t="s">
        <v>794</v>
      </c>
      <c r="G38" s="7" t="s">
        <v>34</v>
      </c>
      <c r="H38" s="8"/>
      <c r="I38" s="22" t="s">
        <v>205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2</v>
      </c>
      <c r="F39" s="8" t="s">
        <v>795</v>
      </c>
      <c r="G39" s="7" t="s">
        <v>757</v>
      </c>
      <c r="H39" s="8"/>
      <c r="I39" s="22" t="s">
        <v>205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1</v>
      </c>
      <c r="F40" s="8" t="s">
        <v>796</v>
      </c>
      <c r="G40" s="7" t="s">
        <v>42</v>
      </c>
      <c r="H40" s="8"/>
      <c r="I40" s="22" t="s">
        <v>205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2</v>
      </c>
      <c r="F41" s="8" t="s">
        <v>797</v>
      </c>
      <c r="G41" s="7" t="s">
        <v>757</v>
      </c>
      <c r="H41" s="8"/>
      <c r="I41" s="22" t="s">
        <v>205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2</v>
      </c>
      <c r="F42" s="8" t="s">
        <v>798</v>
      </c>
      <c r="G42" s="7" t="s">
        <v>762</v>
      </c>
      <c r="H42" s="8"/>
      <c r="I42" s="22" t="s">
        <v>205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799</v>
      </c>
      <c r="G43" s="7" t="s">
        <v>42</v>
      </c>
      <c r="H43" s="8"/>
      <c r="I43" s="22" t="s">
        <v>205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171</v>
      </c>
      <c r="G44" s="7" t="s">
        <v>42</v>
      </c>
      <c r="H44" s="8"/>
      <c r="I44" s="22" t="s">
        <v>205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2</v>
      </c>
      <c r="F45" s="8" t="s">
        <v>800</v>
      </c>
      <c r="G45" s="7" t="s">
        <v>767</v>
      </c>
      <c r="H45" s="8"/>
      <c r="I45" s="22" t="s">
        <v>205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3</v>
      </c>
      <c r="F46" s="8" t="s">
        <v>801</v>
      </c>
      <c r="G46" s="7" t="s">
        <v>792</v>
      </c>
      <c r="H46" s="8"/>
      <c r="I46" s="22" t="s">
        <v>205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2</v>
      </c>
      <c r="F47" s="8" t="s">
        <v>802</v>
      </c>
      <c r="G47" s="7" t="s">
        <v>757</v>
      </c>
      <c r="H47" s="8"/>
      <c r="I47" s="23" t="s">
        <v>586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2</v>
      </c>
      <c r="F48" s="8" t="s">
        <v>803</v>
      </c>
      <c r="G48" s="7" t="s">
        <v>751</v>
      </c>
      <c r="H48" s="8"/>
      <c r="I48" s="22" t="s">
        <v>205</v>
      </c>
    </row>
    <row r="50" spans="1:9" ht="15.75" customHeight="1" x14ac:dyDescent="0.2">
      <c r="A50" s="11" t="s">
        <v>187</v>
      </c>
    </row>
    <row r="51" spans="1:9" ht="15.75" customHeight="1" x14ac:dyDescent="0.2">
      <c r="A51" s="12" t="s">
        <v>188</v>
      </c>
      <c r="B51" s="13">
        <f>IFERROR(AVERAGE(E4,E5,E6,E7,E8,E9,E10,E11,E12,E13,E14,E15,E16,E17,E18),"")</f>
        <v>2.3333333333333335</v>
      </c>
      <c r="I51" s="22" t="s">
        <v>205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2.9333333333333331</v>
      </c>
      <c r="I52" s="22" t="s">
        <v>205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2.0666666666666669</v>
      </c>
      <c r="I53" s="22" t="s">
        <v>205</v>
      </c>
    </row>
    <row r="54" spans="1:9" ht="15.75" customHeight="1" x14ac:dyDescent="0.2">
      <c r="A54" s="16" t="s">
        <v>191</v>
      </c>
      <c r="B54" s="17">
        <f>IFERROR(B52-B51,"")</f>
        <v>0.59999999999999964</v>
      </c>
      <c r="I54" s="22" t="s">
        <v>205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205</v>
      </c>
    </row>
    <row r="58" spans="1:9" ht="64.5" customHeight="1" x14ac:dyDescent="0.2">
      <c r="A58" s="6" t="s">
        <v>197</v>
      </c>
      <c r="B58" s="18">
        <f>IFERROR(AVERAGE(E4,E5,E6),"")</f>
        <v>2</v>
      </c>
      <c r="C58" s="18">
        <f>IFERROR(AVERAGE(E19,E20,E21),"")</f>
        <v>3.6666666666666665</v>
      </c>
      <c r="D58" s="19">
        <f>IFERROR(C58-B58,"")</f>
        <v>1.6666666666666665</v>
      </c>
      <c r="E58" s="18">
        <f>IFERROR(AVERAGE(E34,E35,E36),"")</f>
        <v>2.3333333333333335</v>
      </c>
      <c r="I58" s="22" t="s">
        <v>205</v>
      </c>
    </row>
    <row r="59" spans="1:9" ht="39" customHeight="1" x14ac:dyDescent="0.2">
      <c r="A59" s="6" t="s">
        <v>198</v>
      </c>
      <c r="B59" s="18">
        <f>IFERROR(AVERAGE(E7,E8,E9),"")</f>
        <v>3.6666666666666665</v>
      </c>
      <c r="C59" s="18">
        <f>IFERROR(AVERAGE(E22,E23,E24),"")</f>
        <v>2.6666666666666665</v>
      </c>
      <c r="D59" s="19">
        <f>IFERROR(C59-B59,"")</f>
        <v>-1</v>
      </c>
      <c r="E59" s="18">
        <f>IFERROR(AVERAGE(E37,E38,E39),"")</f>
        <v>2.6666666666666665</v>
      </c>
      <c r="I59" s="22" t="s">
        <v>205</v>
      </c>
    </row>
    <row r="60" spans="1:9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2.6666666666666665</v>
      </c>
      <c r="D60" s="19">
        <f>IFERROR(C60-B60,"")</f>
        <v>0</v>
      </c>
      <c r="E60" s="18">
        <f>IFERROR(AVERAGE(E46,E47,E48),"")</f>
        <v>2.3333333333333335</v>
      </c>
      <c r="I60" s="22" t="s">
        <v>205</v>
      </c>
    </row>
    <row r="62" spans="1:9" ht="25.5" customHeight="1" x14ac:dyDescent="0.2">
      <c r="A62" s="85"/>
      <c r="B62" s="86"/>
      <c r="C62" s="86"/>
      <c r="D62" s="86"/>
      <c r="E62" s="86"/>
      <c r="F62" s="86"/>
      <c r="G62" s="86"/>
      <c r="H62" s="86"/>
    </row>
    <row r="63" spans="1:9" ht="26" x14ac:dyDescent="0.2">
      <c r="A63" s="36" t="s">
        <v>44</v>
      </c>
      <c r="E63">
        <f>IFERROR(ROUND(AVERAGE(E40:E42),2),"")</f>
        <v>1.67</v>
      </c>
    </row>
    <row r="64" spans="1:9" ht="26" x14ac:dyDescent="0.2">
      <c r="A64" s="36" t="s">
        <v>909</v>
      </c>
      <c r="E64">
        <f>IFERROR(ROUND(AVERAGE(E43:E45),2),"")</f>
        <v>1.33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4"/>
  <sheetViews>
    <sheetView topLeftCell="A59" zoomScale="184" zoomScaleNormal="100" workbookViewId="0">
      <selection activeCell="A62" sqref="A62:H62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3"/>
      <c r="C1" s="84"/>
      <c r="D1" s="84"/>
      <c r="E1" s="1" t="s">
        <v>1</v>
      </c>
      <c r="F1" s="83"/>
      <c r="G1" s="84"/>
      <c r="H1" s="2" t="s">
        <v>892</v>
      </c>
      <c r="I1" s="20" t="s">
        <v>2</v>
      </c>
    </row>
    <row r="2" spans="1:9" ht="15.75" customHeight="1" x14ac:dyDescent="0.2">
      <c r="B2" t="s">
        <v>3</v>
      </c>
      <c r="F2" t="s">
        <v>4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4</v>
      </c>
      <c r="F4" s="8" t="s">
        <v>17</v>
      </c>
      <c r="G4" s="7" t="s">
        <v>18</v>
      </c>
      <c r="H4" s="8" t="s">
        <v>19</v>
      </c>
      <c r="I4" s="22" t="s">
        <v>20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4</v>
      </c>
      <c r="F5" s="8" t="s">
        <v>23</v>
      </c>
      <c r="G5" s="7" t="s">
        <v>24</v>
      </c>
      <c r="H5" s="8" t="s">
        <v>25</v>
      </c>
      <c r="I5" s="22" t="s">
        <v>20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3</v>
      </c>
      <c r="F6" s="8" t="s">
        <v>28</v>
      </c>
      <c r="G6" s="7" t="s">
        <v>29</v>
      </c>
      <c r="H6" s="8"/>
      <c r="I6" s="22" t="s">
        <v>20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4</v>
      </c>
      <c r="F7" s="8" t="s">
        <v>33</v>
      </c>
      <c r="G7" s="7" t="s">
        <v>34</v>
      </c>
      <c r="H7" s="8"/>
      <c r="I7" s="22" t="s">
        <v>20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3</v>
      </c>
      <c r="F8" s="8" t="s">
        <v>37</v>
      </c>
      <c r="G8" s="7" t="s">
        <v>38</v>
      </c>
      <c r="H8" s="8"/>
      <c r="I8" s="22" t="s">
        <v>20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2</v>
      </c>
      <c r="F9" s="8" t="s">
        <v>41</v>
      </c>
      <c r="G9" s="7" t="s">
        <v>42</v>
      </c>
      <c r="H9" s="8"/>
      <c r="I9" s="22" t="s">
        <v>20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4</v>
      </c>
      <c r="F10" s="8" t="s">
        <v>46</v>
      </c>
      <c r="G10" s="7" t="s">
        <v>34</v>
      </c>
      <c r="H10" s="8"/>
      <c r="I10" s="22" t="s">
        <v>20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4</v>
      </c>
      <c r="F11" s="8" t="s">
        <v>49</v>
      </c>
      <c r="G11" s="7" t="s">
        <v>50</v>
      </c>
      <c r="H11" s="8"/>
      <c r="I11" s="22" t="s">
        <v>20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3</v>
      </c>
      <c r="F12" s="8" t="s">
        <v>53</v>
      </c>
      <c r="G12" s="7" t="s">
        <v>54</v>
      </c>
      <c r="H12" s="8"/>
      <c r="I12" s="22" t="s">
        <v>20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3</v>
      </c>
      <c r="F13" s="8" t="s">
        <v>58</v>
      </c>
      <c r="G13" s="7" t="s">
        <v>59</v>
      </c>
      <c r="H13" s="8"/>
      <c r="I13" s="22" t="s">
        <v>20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3</v>
      </c>
      <c r="F14" s="8" t="s">
        <v>62</v>
      </c>
      <c r="G14" s="7" t="s">
        <v>50</v>
      </c>
      <c r="H14" s="8"/>
      <c r="I14" s="22" t="s">
        <v>20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3</v>
      </c>
      <c r="F15" s="8" t="s">
        <v>65</v>
      </c>
      <c r="G15" s="7" t="s">
        <v>66</v>
      </c>
      <c r="H15" s="8"/>
      <c r="I15" s="22" t="s">
        <v>20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70</v>
      </c>
      <c r="G16" s="7" t="s">
        <v>34</v>
      </c>
      <c r="H16" s="8"/>
      <c r="I16" s="22" t="s">
        <v>20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73</v>
      </c>
      <c r="G17" s="7" t="s">
        <v>34</v>
      </c>
      <c r="H17" s="8"/>
      <c r="I17" s="22" t="s">
        <v>20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76</v>
      </c>
      <c r="G18" s="7" t="s">
        <v>77</v>
      </c>
      <c r="H18" s="8"/>
      <c r="I18" s="22" t="s">
        <v>20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4</v>
      </c>
      <c r="F19" s="8" t="s">
        <v>81</v>
      </c>
      <c r="G19" s="7" t="s">
        <v>82</v>
      </c>
      <c r="H19" s="8"/>
      <c r="I19" s="22" t="s">
        <v>20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4</v>
      </c>
      <c r="F20" s="8" t="s">
        <v>85</v>
      </c>
      <c r="G20" s="7" t="s">
        <v>82</v>
      </c>
      <c r="H20" s="8"/>
      <c r="I20" s="22" t="s">
        <v>20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88</v>
      </c>
      <c r="G21" s="7" t="s">
        <v>89</v>
      </c>
      <c r="H21" s="8"/>
      <c r="I21" s="22" t="s">
        <v>20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4</v>
      </c>
      <c r="F22" s="8" t="s">
        <v>92</v>
      </c>
      <c r="G22" s="7" t="s">
        <v>93</v>
      </c>
      <c r="H22" s="8"/>
      <c r="I22" s="22" t="s">
        <v>20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2</v>
      </c>
      <c r="F23" s="8" t="s">
        <v>96</v>
      </c>
      <c r="G23" s="7" t="s">
        <v>42</v>
      </c>
      <c r="H23" s="8"/>
      <c r="I23" s="22" t="s">
        <v>20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99</v>
      </c>
      <c r="G24" s="7" t="s">
        <v>100</v>
      </c>
      <c r="H24" s="8"/>
      <c r="I24" s="22" t="s">
        <v>20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3</v>
      </c>
      <c r="F25" s="8" t="s">
        <v>104</v>
      </c>
      <c r="G25" s="7" t="s">
        <v>82</v>
      </c>
      <c r="H25" s="8"/>
      <c r="I25" s="22" t="s">
        <v>20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4</v>
      </c>
      <c r="F26" s="8" t="s">
        <v>107</v>
      </c>
      <c r="G26" s="7" t="s">
        <v>82</v>
      </c>
      <c r="H26" s="8"/>
      <c r="I26" s="22" t="s">
        <v>20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110</v>
      </c>
      <c r="G27" s="7" t="s">
        <v>111</v>
      </c>
      <c r="H27" s="8"/>
      <c r="I27" s="22" t="s">
        <v>20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4</v>
      </c>
      <c r="F28" s="8" t="s">
        <v>115</v>
      </c>
      <c r="G28" s="7" t="s">
        <v>82</v>
      </c>
      <c r="H28" s="8"/>
      <c r="I28" s="22" t="s">
        <v>20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4</v>
      </c>
      <c r="F29" s="8" t="s">
        <v>118</v>
      </c>
      <c r="G29" s="7" t="s">
        <v>119</v>
      </c>
      <c r="H29" s="8"/>
      <c r="I29" s="22" t="s">
        <v>20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3</v>
      </c>
      <c r="F30" s="8" t="s">
        <v>122</v>
      </c>
      <c r="G30" s="7" t="s">
        <v>82</v>
      </c>
      <c r="H30" s="8"/>
      <c r="I30" s="22" t="s">
        <v>20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125</v>
      </c>
      <c r="G31" s="7" t="s">
        <v>82</v>
      </c>
      <c r="H31" s="8"/>
      <c r="I31" s="22" t="s">
        <v>20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3</v>
      </c>
      <c r="F32" s="8" t="s">
        <v>128</v>
      </c>
      <c r="G32" s="7" t="s">
        <v>129</v>
      </c>
      <c r="H32" s="8"/>
      <c r="I32" s="22" t="s">
        <v>20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4</v>
      </c>
      <c r="F33" s="8" t="s">
        <v>132</v>
      </c>
      <c r="G33" s="7" t="s">
        <v>133</v>
      </c>
      <c r="H33" s="8" t="s">
        <v>134</v>
      </c>
      <c r="I33" s="22" t="s">
        <v>20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3</v>
      </c>
      <c r="F34" s="8" t="s">
        <v>138</v>
      </c>
      <c r="G34" s="7" t="s">
        <v>139</v>
      </c>
      <c r="H34" s="8"/>
      <c r="I34" s="22" t="s">
        <v>20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142</v>
      </c>
      <c r="G35" s="7" t="s">
        <v>50</v>
      </c>
      <c r="H35" s="8"/>
      <c r="I35" s="22" t="s">
        <v>20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3</v>
      </c>
      <c r="F36" s="8" t="s">
        <v>145</v>
      </c>
      <c r="G36" s="7" t="s">
        <v>50</v>
      </c>
      <c r="H36" s="8"/>
      <c r="I36" s="22" t="s">
        <v>20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148</v>
      </c>
      <c r="G37" s="7" t="s">
        <v>24</v>
      </c>
      <c r="H37" s="8"/>
      <c r="I37" s="22" t="s">
        <v>20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3</v>
      </c>
      <c r="F38" s="8" t="s">
        <v>151</v>
      </c>
      <c r="G38" s="7" t="s">
        <v>152</v>
      </c>
      <c r="H38" s="8"/>
      <c r="I38" s="22" t="s">
        <v>20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3</v>
      </c>
      <c r="F39" s="8" t="s">
        <v>155</v>
      </c>
      <c r="G39" s="7" t="s">
        <v>38</v>
      </c>
      <c r="H39" s="8"/>
      <c r="I39" s="22" t="s">
        <v>20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3</v>
      </c>
      <c r="F40" s="8" t="s">
        <v>158</v>
      </c>
      <c r="G40" s="7" t="s">
        <v>38</v>
      </c>
      <c r="H40" s="8"/>
      <c r="I40" s="22" t="s">
        <v>20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2</v>
      </c>
      <c r="F41" s="8" t="s">
        <v>161</v>
      </c>
      <c r="G41" s="7" t="s">
        <v>54</v>
      </c>
      <c r="H41" s="8"/>
      <c r="I41" s="22" t="s">
        <v>20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4</v>
      </c>
      <c r="F42" s="8" t="s">
        <v>164</v>
      </c>
      <c r="G42" s="7" t="s">
        <v>50</v>
      </c>
      <c r="H42" s="8" t="s">
        <v>165</v>
      </c>
      <c r="I42" s="22" t="s">
        <v>20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2</v>
      </c>
      <c r="F43" s="8" t="s">
        <v>168</v>
      </c>
      <c r="G43" s="7" t="s">
        <v>82</v>
      </c>
      <c r="H43" s="8"/>
      <c r="I43" s="22" t="s">
        <v>20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171</v>
      </c>
      <c r="G44" s="7" t="s">
        <v>42</v>
      </c>
      <c r="H44" s="8"/>
      <c r="I44" s="22" t="s">
        <v>20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3</v>
      </c>
      <c r="F45" s="8" t="s">
        <v>174</v>
      </c>
      <c r="G45" s="7" t="s">
        <v>66</v>
      </c>
      <c r="H45" s="8"/>
      <c r="I45" s="22" t="s">
        <v>20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3</v>
      </c>
      <c r="F46" s="8" t="s">
        <v>177</v>
      </c>
      <c r="G46" s="7" t="s">
        <v>178</v>
      </c>
      <c r="H46" s="8"/>
      <c r="I46" s="22" t="s">
        <v>20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3</v>
      </c>
      <c r="F47" s="8" t="s">
        <v>181</v>
      </c>
      <c r="G47" s="7" t="s">
        <v>182</v>
      </c>
      <c r="H47" s="8"/>
      <c r="I47" s="22" t="s">
        <v>20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3</v>
      </c>
      <c r="F48" s="8" t="s">
        <v>185</v>
      </c>
      <c r="G48" s="7" t="s">
        <v>186</v>
      </c>
      <c r="H48" s="8"/>
      <c r="I48" s="22" t="s">
        <v>20</v>
      </c>
    </row>
    <row r="50" spans="1:9" ht="15.75" customHeight="1" x14ac:dyDescent="0.2">
      <c r="A50" s="11" t="s">
        <v>187</v>
      </c>
    </row>
    <row r="51" spans="1:9" ht="15.75" customHeight="1" x14ac:dyDescent="0.2">
      <c r="A51" s="12" t="s">
        <v>188</v>
      </c>
      <c r="B51" s="13">
        <f>IFERROR(AVERAGE(E4,E5,E6,E7,E8,E9,E10,E11,E12,E13,E14,E15,E16,E17,E18),"")</f>
        <v>3.2</v>
      </c>
      <c r="I51" s="22" t="s">
        <v>20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3.5333333333333332</v>
      </c>
      <c r="I52" s="22" t="s">
        <v>20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2.7333333333333334</v>
      </c>
      <c r="I53" s="22" t="s">
        <v>20</v>
      </c>
    </row>
    <row r="54" spans="1:9" ht="15.75" customHeight="1" x14ac:dyDescent="0.2">
      <c r="A54" s="16" t="s">
        <v>191</v>
      </c>
      <c r="B54" s="17">
        <f>IFERROR(B52-B51,"")</f>
        <v>0.33333333333333304</v>
      </c>
      <c r="I54" s="22" t="s">
        <v>20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</v>
      </c>
    </row>
    <row r="58" spans="1:9" ht="64.5" customHeight="1" x14ac:dyDescent="0.2">
      <c r="A58" s="6" t="s">
        <v>197</v>
      </c>
      <c r="B58" s="18">
        <f>IFERROR(AVERAGE(E4,E5,E6),"")</f>
        <v>3.6666666666666665</v>
      </c>
      <c r="C58" s="18">
        <f>IFERROR(AVERAGE(E19,E20,E21),"")</f>
        <v>4</v>
      </c>
      <c r="D58" s="19">
        <f>IFERROR(C58-B58,"")</f>
        <v>0.33333333333333348</v>
      </c>
      <c r="E58" s="18">
        <f>IFERROR(AVERAGE(E34,E35,E36),"")</f>
        <v>2.6666666666666665</v>
      </c>
      <c r="I58" s="22" t="s">
        <v>20</v>
      </c>
    </row>
    <row r="59" spans="1:9" ht="39" customHeight="1" x14ac:dyDescent="0.2">
      <c r="A59" s="6" t="s">
        <v>198</v>
      </c>
      <c r="B59" s="18">
        <f>IFERROR(AVERAGE(E7,E8,E9),"")</f>
        <v>3</v>
      </c>
      <c r="C59" s="18">
        <f>IFERROR(AVERAGE(E22,E23,E24),"")</f>
        <v>3</v>
      </c>
      <c r="D59" s="19">
        <f>IFERROR(C59-B59,"")</f>
        <v>0</v>
      </c>
      <c r="E59" s="18">
        <f>IFERROR(AVERAGE(E37,E38,E39),"")</f>
        <v>3</v>
      </c>
      <c r="I59" s="22" t="s">
        <v>20</v>
      </c>
    </row>
    <row r="60" spans="1:9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3.3333333333333335</v>
      </c>
      <c r="D60" s="19">
        <f>IFERROR(C60-B60,"")</f>
        <v>0.66666666666666696</v>
      </c>
      <c r="E60" s="18">
        <f>IFERROR(AVERAGE(E46,E47,E48),"")</f>
        <v>3</v>
      </c>
      <c r="I60" s="22" t="s">
        <v>20</v>
      </c>
    </row>
    <row r="62" spans="1:9" ht="25.5" customHeight="1" x14ac:dyDescent="0.2">
      <c r="A62" s="79"/>
      <c r="B62" s="93"/>
      <c r="C62" s="93"/>
      <c r="D62" s="93"/>
      <c r="E62" s="93"/>
      <c r="F62" s="93"/>
      <c r="G62" s="93"/>
      <c r="H62" s="93"/>
    </row>
    <row r="63" spans="1:9" ht="26" x14ac:dyDescent="0.2">
      <c r="A63" s="36" t="s">
        <v>44</v>
      </c>
      <c r="E63">
        <f>IFERROR(ROUND(AVERAGE(E40:E42),2),"")</f>
        <v>3</v>
      </c>
    </row>
    <row r="64" spans="1:9" ht="26" x14ac:dyDescent="0.2">
      <c r="A64" s="36" t="s">
        <v>909</v>
      </c>
      <c r="E64">
        <f>IFERROR(ROUND(AVERAGE(E43:E45),2),"")</f>
        <v>2</v>
      </c>
    </row>
  </sheetData>
  <mergeCells count="2"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topLeftCell="A14" zoomScale="75" zoomScaleNormal="84" workbookViewId="0">
      <selection activeCell="F20" sqref="F20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154.6640625" bestFit="1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3"/>
      <c r="C1" s="84"/>
      <c r="D1" s="84"/>
      <c r="E1" s="1" t="s">
        <v>1</v>
      </c>
      <c r="F1" s="83"/>
      <c r="G1" s="84"/>
      <c r="H1" s="2" t="s">
        <v>892</v>
      </c>
      <c r="I1" s="20" t="s">
        <v>2</v>
      </c>
    </row>
    <row r="2" spans="1:9" ht="15.75" customHeight="1" x14ac:dyDescent="0.2">
      <c r="B2" t="s">
        <v>804</v>
      </c>
      <c r="F2" t="s">
        <v>4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1</v>
      </c>
      <c r="F4" s="8" t="s">
        <v>805</v>
      </c>
      <c r="G4" s="7" t="s">
        <v>806</v>
      </c>
      <c r="H4" s="8" t="s">
        <v>807</v>
      </c>
      <c r="I4" s="22" t="s">
        <v>20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2</v>
      </c>
      <c r="F5" s="8" t="s">
        <v>808</v>
      </c>
      <c r="G5" s="7" t="s">
        <v>809</v>
      </c>
      <c r="H5" s="8"/>
      <c r="I5" s="22" t="s">
        <v>20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1</v>
      </c>
      <c r="F6" s="8" t="s">
        <v>810</v>
      </c>
      <c r="G6" s="7" t="s">
        <v>42</v>
      </c>
      <c r="H6" s="8"/>
      <c r="I6" s="22" t="s">
        <v>20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2</v>
      </c>
      <c r="F7" s="8" t="s">
        <v>811</v>
      </c>
      <c r="G7" s="7" t="s">
        <v>812</v>
      </c>
      <c r="H7" s="8"/>
      <c r="I7" s="22" t="s">
        <v>20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2</v>
      </c>
      <c r="F8" s="8" t="s">
        <v>813</v>
      </c>
      <c r="G8" s="7" t="s">
        <v>812</v>
      </c>
      <c r="H8" s="8"/>
      <c r="I8" s="22" t="s">
        <v>20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1</v>
      </c>
      <c r="F9" s="8" t="s">
        <v>814</v>
      </c>
      <c r="G9" s="7" t="s">
        <v>42</v>
      </c>
      <c r="H9" s="8"/>
      <c r="I9" s="22" t="s">
        <v>20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1</v>
      </c>
      <c r="F10" s="8" t="s">
        <v>815</v>
      </c>
      <c r="G10" s="7" t="s">
        <v>439</v>
      </c>
      <c r="H10" s="8"/>
      <c r="I10" s="22" t="s">
        <v>20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2</v>
      </c>
      <c r="F11" s="8" t="s">
        <v>816</v>
      </c>
      <c r="G11" s="7" t="s">
        <v>534</v>
      </c>
      <c r="H11" s="8"/>
      <c r="I11" s="22" t="s">
        <v>20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2</v>
      </c>
      <c r="F12" s="8" t="s">
        <v>817</v>
      </c>
      <c r="G12" s="7" t="s">
        <v>812</v>
      </c>
      <c r="H12" s="8"/>
      <c r="I12" s="22" t="s">
        <v>20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2</v>
      </c>
      <c r="F13" s="8" t="s">
        <v>818</v>
      </c>
      <c r="G13" s="7" t="s">
        <v>812</v>
      </c>
      <c r="H13" s="8"/>
      <c r="I13" s="22" t="s">
        <v>20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1</v>
      </c>
      <c r="F14" s="8" t="s">
        <v>765</v>
      </c>
      <c r="G14" s="7" t="s">
        <v>42</v>
      </c>
      <c r="H14" s="8"/>
      <c r="I14" s="22" t="s">
        <v>20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819</v>
      </c>
      <c r="G15" s="7" t="s">
        <v>820</v>
      </c>
      <c r="H15" s="8"/>
      <c r="I15" s="22" t="s">
        <v>20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2</v>
      </c>
      <c r="F16" s="8" t="s">
        <v>821</v>
      </c>
      <c r="G16" s="7" t="s">
        <v>812</v>
      </c>
      <c r="H16" s="8"/>
      <c r="I16" s="22" t="s">
        <v>20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1</v>
      </c>
      <c r="F17" s="8" t="s">
        <v>822</v>
      </c>
      <c r="G17" s="7" t="s">
        <v>42</v>
      </c>
      <c r="H17" s="8"/>
      <c r="I17" s="22" t="s">
        <v>20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2</v>
      </c>
      <c r="F18" s="8" t="s">
        <v>823</v>
      </c>
      <c r="G18" s="7" t="s">
        <v>824</v>
      </c>
      <c r="H18" s="8"/>
      <c r="I18" s="22" t="s">
        <v>20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4</v>
      </c>
      <c r="F19" s="8" t="s">
        <v>825</v>
      </c>
      <c r="G19" s="7" t="s">
        <v>826</v>
      </c>
      <c r="H19" s="8"/>
      <c r="I19" s="22" t="s">
        <v>20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4</v>
      </c>
      <c r="F20" s="8" t="s">
        <v>827</v>
      </c>
      <c r="G20" s="7" t="s">
        <v>828</v>
      </c>
      <c r="H20" s="8" t="s">
        <v>829</v>
      </c>
      <c r="I20" s="22" t="s">
        <v>20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830</v>
      </c>
      <c r="G21" s="7" t="s">
        <v>826</v>
      </c>
      <c r="H21" s="8"/>
      <c r="I21" s="22" t="s">
        <v>20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4</v>
      </c>
      <c r="F22" s="8" t="s">
        <v>831</v>
      </c>
      <c r="G22" s="7" t="s">
        <v>820</v>
      </c>
      <c r="H22" s="8"/>
      <c r="I22" s="22" t="s">
        <v>20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2</v>
      </c>
      <c r="F23" s="8" t="s">
        <v>96</v>
      </c>
      <c r="G23" s="7" t="s">
        <v>42</v>
      </c>
      <c r="H23" s="8" t="s">
        <v>832</v>
      </c>
      <c r="I23" s="22" t="s">
        <v>20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833</v>
      </c>
      <c r="G24" s="7" t="s">
        <v>834</v>
      </c>
      <c r="H24" s="8"/>
      <c r="I24" s="22" t="s">
        <v>20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2</v>
      </c>
      <c r="F25" s="8" t="s">
        <v>835</v>
      </c>
      <c r="G25" s="7" t="s">
        <v>836</v>
      </c>
      <c r="H25" s="8"/>
      <c r="I25" s="22" t="s">
        <v>20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4</v>
      </c>
      <c r="F26" s="8" t="s">
        <v>837</v>
      </c>
      <c r="G26" s="7" t="s">
        <v>820</v>
      </c>
      <c r="H26" s="8"/>
      <c r="I26" s="22" t="s">
        <v>20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3</v>
      </c>
      <c r="F27" s="8" t="s">
        <v>838</v>
      </c>
      <c r="G27" s="7" t="s">
        <v>820</v>
      </c>
      <c r="H27" s="8"/>
      <c r="I27" s="22" t="s">
        <v>20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3</v>
      </c>
      <c r="F28" s="8" t="s">
        <v>839</v>
      </c>
      <c r="G28" s="7" t="s">
        <v>826</v>
      </c>
      <c r="H28" s="8"/>
      <c r="I28" s="22" t="s">
        <v>20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3</v>
      </c>
      <c r="F29" s="8" t="s">
        <v>840</v>
      </c>
      <c r="G29" s="7" t="s">
        <v>820</v>
      </c>
      <c r="H29" s="8"/>
      <c r="I29" s="22" t="s">
        <v>20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3</v>
      </c>
      <c r="F30" s="8" t="s">
        <v>841</v>
      </c>
      <c r="G30" s="7" t="s">
        <v>820</v>
      </c>
      <c r="H30" s="8"/>
      <c r="I30" s="22" t="s">
        <v>20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4</v>
      </c>
      <c r="F31" s="8" t="s">
        <v>842</v>
      </c>
      <c r="G31" s="7" t="s">
        <v>826</v>
      </c>
      <c r="H31" s="8"/>
      <c r="I31" s="22" t="s">
        <v>20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2</v>
      </c>
      <c r="F32" s="8" t="s">
        <v>843</v>
      </c>
      <c r="G32" s="7" t="s">
        <v>828</v>
      </c>
      <c r="H32" s="8"/>
      <c r="I32" s="22" t="s">
        <v>20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4</v>
      </c>
      <c r="F33" s="8" t="s">
        <v>844</v>
      </c>
      <c r="G33" s="7" t="s">
        <v>845</v>
      </c>
      <c r="H33" s="8"/>
      <c r="I33" s="22" t="s">
        <v>20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2</v>
      </c>
      <c r="F34" s="8" t="s">
        <v>846</v>
      </c>
      <c r="G34" s="7" t="s">
        <v>847</v>
      </c>
      <c r="H34" s="8"/>
      <c r="I34" s="22" t="s">
        <v>20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848</v>
      </c>
      <c r="G35" s="7" t="s">
        <v>849</v>
      </c>
      <c r="H35" s="8"/>
      <c r="I35" s="22" t="s">
        <v>20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3</v>
      </c>
      <c r="F36" s="8" t="s">
        <v>850</v>
      </c>
      <c r="G36" s="7" t="s">
        <v>809</v>
      </c>
      <c r="H36" s="8"/>
      <c r="I36" s="22" t="s">
        <v>20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851</v>
      </c>
      <c r="G37" s="7" t="s">
        <v>852</v>
      </c>
      <c r="H37" s="8"/>
      <c r="I37" s="22" t="s">
        <v>20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3</v>
      </c>
      <c r="F38" s="8" t="s">
        <v>853</v>
      </c>
      <c r="G38" s="7" t="s">
        <v>820</v>
      </c>
      <c r="H38" s="8"/>
      <c r="I38" s="22" t="s">
        <v>20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3</v>
      </c>
      <c r="F39" s="8" t="s">
        <v>854</v>
      </c>
      <c r="G39" s="7" t="s">
        <v>855</v>
      </c>
      <c r="H39" s="8"/>
      <c r="I39" s="22" t="s">
        <v>20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1</v>
      </c>
      <c r="F40" s="8" t="s">
        <v>796</v>
      </c>
      <c r="G40" s="7" t="s">
        <v>42</v>
      </c>
      <c r="H40" s="8"/>
      <c r="I40" s="22" t="s">
        <v>20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2</v>
      </c>
      <c r="F41" s="8" t="s">
        <v>856</v>
      </c>
      <c r="G41" s="7" t="s">
        <v>836</v>
      </c>
      <c r="H41" s="8"/>
      <c r="I41" s="22" t="s">
        <v>20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2</v>
      </c>
      <c r="F42" s="8" t="s">
        <v>857</v>
      </c>
      <c r="G42" s="7" t="s">
        <v>534</v>
      </c>
      <c r="H42" s="8"/>
      <c r="I42" s="22" t="s">
        <v>20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799</v>
      </c>
      <c r="G43" s="7" t="s">
        <v>42</v>
      </c>
      <c r="H43" s="8"/>
      <c r="I43" s="22" t="s">
        <v>20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858</v>
      </c>
      <c r="G44" s="7" t="s">
        <v>812</v>
      </c>
      <c r="H44" s="8"/>
      <c r="I44" s="22" t="s">
        <v>20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2</v>
      </c>
      <c r="F45" s="8" t="s">
        <v>859</v>
      </c>
      <c r="G45" s="7" t="s">
        <v>820</v>
      </c>
      <c r="H45" s="8"/>
      <c r="I45" s="22" t="s">
        <v>20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2</v>
      </c>
      <c r="F46" s="8" t="s">
        <v>860</v>
      </c>
      <c r="G46" s="7" t="s">
        <v>824</v>
      </c>
      <c r="H46" s="8"/>
      <c r="I46" s="22" t="s">
        <v>20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2</v>
      </c>
      <c r="F47" s="8" t="s">
        <v>861</v>
      </c>
      <c r="G47" s="7" t="s">
        <v>439</v>
      </c>
      <c r="H47" s="8"/>
      <c r="I47" s="22" t="s">
        <v>20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2</v>
      </c>
      <c r="F48" s="8" t="s">
        <v>862</v>
      </c>
      <c r="G48" s="7" t="s">
        <v>534</v>
      </c>
      <c r="H48" s="8"/>
      <c r="I48" s="22" t="s">
        <v>20</v>
      </c>
    </row>
    <row r="49" spans="1:9" ht="15.75" customHeight="1" x14ac:dyDescent="0.2">
      <c r="E49" s="7"/>
    </row>
    <row r="50" spans="1:9" ht="15.75" customHeight="1" x14ac:dyDescent="0.2">
      <c r="A50" s="11" t="s">
        <v>187</v>
      </c>
      <c r="E50" s="7"/>
    </row>
    <row r="51" spans="1:9" ht="15.75" customHeight="1" x14ac:dyDescent="0.2">
      <c r="A51" s="12" t="s">
        <v>188</v>
      </c>
      <c r="B51" s="13">
        <f>IFERROR(AVERAGE(E4,E5,E6,E7,E8,E9,E10,E11,E12,E13,E14,E15,E16,E17,E18),"")</f>
        <v>1.6</v>
      </c>
      <c r="E51" s="7"/>
      <c r="I51" s="22" t="s">
        <v>20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3.2666666666666666</v>
      </c>
      <c r="E52" s="7"/>
      <c r="I52" s="22" t="s">
        <v>20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2.0666666666666669</v>
      </c>
      <c r="E53" s="7"/>
      <c r="I53" s="22" t="s">
        <v>20</v>
      </c>
    </row>
    <row r="54" spans="1:9" ht="15.75" customHeight="1" x14ac:dyDescent="0.2">
      <c r="A54" s="16" t="s">
        <v>191</v>
      </c>
      <c r="B54" s="17">
        <f>IFERROR(B52-B51,"")</f>
        <v>1.6666666666666665</v>
      </c>
      <c r="I54" s="22" t="s">
        <v>20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</v>
      </c>
    </row>
    <row r="58" spans="1:9" ht="64.5" customHeight="1" x14ac:dyDescent="0.2">
      <c r="A58" s="6" t="s">
        <v>197</v>
      </c>
      <c r="B58" s="18">
        <f>IFERROR(AVERAGE(E4,E5,E6),"")</f>
        <v>1.3333333333333333</v>
      </c>
      <c r="C58" s="18">
        <f>IFERROR(AVERAGE(E19,E20,E21),"")</f>
        <v>4</v>
      </c>
      <c r="D58" s="19">
        <f>IFERROR(C58-B58,"")</f>
        <v>2.666666666666667</v>
      </c>
      <c r="E58" s="18">
        <f>IFERROR(AVERAGE(E34,E35,E36),"")</f>
        <v>2.3333333333333335</v>
      </c>
      <c r="I58" s="22" t="s">
        <v>20</v>
      </c>
    </row>
    <row r="59" spans="1:9" ht="39" customHeight="1" x14ac:dyDescent="0.2">
      <c r="A59" s="6" t="s">
        <v>198</v>
      </c>
      <c r="B59" s="18">
        <f>IFERROR(AVERAGE(E7,E8,E9),"")</f>
        <v>1.6666666666666667</v>
      </c>
      <c r="C59" s="18">
        <f>IFERROR(AVERAGE(E22,E23,E24),"")</f>
        <v>3</v>
      </c>
      <c r="D59" s="19">
        <f>IFERROR(C59-B59,"")</f>
        <v>1.3333333333333333</v>
      </c>
      <c r="E59" s="18">
        <f>IFERROR(AVERAGE(E37,E38,E39),"")</f>
        <v>3</v>
      </c>
      <c r="I59" s="22" t="s">
        <v>20</v>
      </c>
    </row>
    <row r="60" spans="1:9" ht="64.5" customHeight="1" x14ac:dyDescent="0.2">
      <c r="A60" s="6" t="s">
        <v>199</v>
      </c>
      <c r="B60" s="18">
        <f>IFERROR(AVERAGE(E16,E17,E18),"")</f>
        <v>1.6666666666666667</v>
      </c>
      <c r="C60" s="18">
        <f>IFERROR(AVERAGE(E31,E32,E33),"")</f>
        <v>3.3333333333333335</v>
      </c>
      <c r="D60" s="19">
        <f>IFERROR(C60-B60,"")</f>
        <v>1.6666666666666667</v>
      </c>
      <c r="E60" s="18">
        <f>IFERROR(AVERAGE(E46,E47,E48),"")</f>
        <v>2</v>
      </c>
      <c r="I60" s="22" t="s">
        <v>20</v>
      </c>
    </row>
    <row r="62" spans="1:9" ht="25.5" customHeight="1" x14ac:dyDescent="0.2">
      <c r="A62" s="79"/>
      <c r="B62" s="93"/>
      <c r="C62" s="93"/>
      <c r="D62" s="93"/>
      <c r="E62" s="93"/>
      <c r="F62" s="93"/>
      <c r="G62" s="93"/>
      <c r="H62" s="93"/>
    </row>
    <row r="63" spans="1:9" ht="26" x14ac:dyDescent="0.2">
      <c r="A63" s="36" t="s">
        <v>922</v>
      </c>
      <c r="E63">
        <f>IFERROR(ROUND(AVERAGE(E40:E42),2),"")</f>
        <v>1.67</v>
      </c>
    </row>
    <row r="64" spans="1:9" ht="26" x14ac:dyDescent="0.2">
      <c r="A64" s="36" t="s">
        <v>909</v>
      </c>
      <c r="E64">
        <f>IFERROR(ROUND(AVERAGE(E43:E45),2),"")</f>
        <v>1.33</v>
      </c>
    </row>
  </sheetData>
  <mergeCells count="2"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Indicators and Framework Map </vt:lpstr>
      <vt:lpstr>Worksheet</vt:lpstr>
      <vt:lpstr>Worksheet 2</vt:lpstr>
      <vt:lpstr>Scoring Rubrics</vt:lpstr>
      <vt:lpstr>Codebook_Worksheet</vt:lpstr>
      <vt:lpstr>HSBC</vt:lpstr>
      <vt:lpstr>Barclays</vt:lpstr>
      <vt:lpstr>Lloyds</vt:lpstr>
      <vt:lpstr>Aviva</vt:lpstr>
      <vt:lpstr>LG</vt:lpstr>
      <vt:lpstr>Prudential</vt:lpstr>
      <vt:lpstr>3i</vt:lpstr>
      <vt:lpstr>MG</vt:lpstr>
      <vt:lpstr>Schroders</vt:lpstr>
      <vt:lpstr>LSEG</vt:lpstr>
      <vt:lpstr>Experian</vt:lpstr>
      <vt:lpstr>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Kirshika Sriranjan</dc:creator>
  <cp:lastModifiedBy>Kirshika Sriranjan</cp:lastModifiedBy>
  <cp:revision>0</cp:revision>
  <dcterms:created xsi:type="dcterms:W3CDTF">2026-06-24T23:47:12Z</dcterms:created>
  <dcterms:modified xsi:type="dcterms:W3CDTF">2026-08-12T00:42:39Z</dcterms:modified>
  <dc:language>en-US</dc:language>
</cp:coreProperties>
</file>